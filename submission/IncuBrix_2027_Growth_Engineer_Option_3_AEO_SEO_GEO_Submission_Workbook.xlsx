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n"/>
      <c r="D5" s="24" t="n">
        <v>1</v>
      </c>
      <c r="E5" s="24" t="inlineStr">
        <is>
          <t>Completed workbook</t>
        </is>
      </c>
      <c r="F5" s="23" t="n"/>
    </row>
    <row r="6" ht="15" customHeight="1" s="15">
      <c r="A6" s="22" t="inlineStr">
        <is>
          <t>Full name</t>
        </is>
      </c>
      <c r="B6" s="23" t="n"/>
      <c r="D6" s="24" t="n">
        <v>2</v>
      </c>
      <c r="E6" s="24" t="inlineStr">
        <is>
          <t>Main output files</t>
        </is>
      </c>
      <c r="F6" s="23" t="n"/>
    </row>
    <row r="7" ht="15" customHeight="1" s="15">
      <c r="A7" s="22" t="inlineStr">
        <is>
          <t>Registered email</t>
        </is>
      </c>
      <c r="B7" s="23" t="n"/>
      <c r="D7" s="24" t="n">
        <v>3</v>
      </c>
      <c r="E7" s="24" t="inlineStr">
        <is>
          <t>Engine repository + README</t>
        </is>
      </c>
      <c r="F7" s="23" t="n"/>
    </row>
    <row r="8" ht="15" customHeight="1" s="15">
      <c r="A8" s="22" t="inlineStr">
        <is>
          <t>College and degree</t>
        </is>
      </c>
      <c r="B8" s="23" t="n"/>
      <c r="D8" s="24" t="n">
        <v>4</v>
      </c>
      <c r="E8" s="24" t="inlineStr">
        <is>
          <t>Launch kit</t>
        </is>
      </c>
      <c r="F8" s="23" t="n"/>
    </row>
    <row r="9" ht="15" customHeight="1" s="15">
      <c r="A9" s="22" t="inlineStr">
        <is>
          <t>Assessment start (date/time)</t>
        </is>
      </c>
      <c r="B9" s="23" t="n"/>
      <c r="D9" s="24" t="n">
        <v>5</v>
      </c>
      <c r="E9" s="24" t="inlineStr">
        <is>
          <t>Both video links</t>
        </is>
      </c>
      <c r="F9" s="23" t="n"/>
    </row>
    <row r="10" ht="15" customHeight="1" s="15">
      <c r="A10" s="22" t="inlineStr">
        <is>
          <t>Submission time (date/time)</t>
        </is>
      </c>
      <c r="B10" s="23" t="n"/>
      <c r="D10" s="24" t="n">
        <v>6</v>
      </c>
      <c r="E10" s="24" t="inlineStr">
        <is>
          <t>Declaration accepted (row below)</t>
        </is>
      </c>
      <c r="F10" s="23" t="n"/>
    </row>
    <row r="11" ht="15" customHeight="1" s="15">
      <c r="A11" s="22" t="inlineStr">
        <is>
          <t>Main output folder URL</t>
        </is>
      </c>
      <c r="B11" s="23" t="n"/>
    </row>
    <row r="12" ht="15" customHeight="1" s="15">
      <c r="A12" s="22" t="inlineStr">
        <is>
          <t>Repository or workflow URL</t>
        </is>
      </c>
      <c r="B12" s="23" t="n"/>
    </row>
    <row r="13" ht="15" customHeight="1" s="15">
      <c r="A13" s="22" t="inlineStr">
        <is>
          <t>Launch kit URL</t>
        </is>
      </c>
      <c r="B13" s="23" t="n"/>
    </row>
    <row r="14" ht="23.85" customHeight="1" s="15">
      <c r="A14" s="22" t="inlineStr">
        <is>
          <t>Product walkthrough video URL (max 5 min)</t>
        </is>
      </c>
      <c r="B14" s="23" t="n"/>
    </row>
    <row r="15" ht="23.85" customHeight="1" s="15">
      <c r="A15" s="22" t="inlineStr">
        <is>
          <t>Technical demo video URL (max 8 min)</t>
        </is>
      </c>
      <c r="B15" s="23" t="n"/>
    </row>
    <row r="16" ht="23.85" customHeight="1" s="15">
      <c r="A16" s="22" t="inlineStr">
        <is>
          <t>AI tools, data sources and services used</t>
        </is>
      </c>
      <c r="B16" s="23" t="n"/>
    </row>
    <row r="17" ht="15" customHeight="1" s="15">
      <c r="A17" s="22" t="inlineStr">
        <is>
          <t>Total money spent (if any) and on what</t>
        </is>
      </c>
      <c r="B17" s="23" t="n"/>
    </row>
    <row r="18" ht="23.85" customHeight="1" s="15">
      <c r="A18" s="22" t="inlineStr">
        <is>
          <t>Manual work disclosed (what and how much)</t>
        </is>
      </c>
      <c r="B18" s="23" t="n"/>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n"/>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Pricing &amp; Credit Economy Architecture</t>
        </is>
      </c>
      <c r="C6" s="23" t="inlineStr">
        <is>
          <t>Audited https://incubrix.com/pricing. IncuBrix implements a 6-tier credit subscription model: Free (300 credits/mo, ~21 1-min videos), Starter ($10/mo, 1,000 credits, ~71 videos), Essential ($20/mo, 2,000 credits, ~142 videos), Growth ($50/mo, 5,000 credits, ~357 videos), Scale ($100/mo, 10,000 credits, ~714 videos), and Pro ($250/mo, 25,000 credits, ~1,785 videos). Credit-to-video ratio is consistent (~14 credits/minute), but the public pricing page lacks a feature comparison matrix (export resolution 1080p vs 4K, watermark rules on Free tier, custom fonts/brand kit, or multi-user team seats).</t>
        </is>
      </c>
      <c r="D6" s="23" t="inlineStr">
        <is>
          <t>Creators evaluating new tools need unambiguous clarity on plan restrictions (e.g., whether the Free plan attaches an export watermark, whether 60fps/4K is paywalled, or if cloud storage has an expiration). Lacking a comparative matrix increases user friction and bounce rates.</t>
        </is>
      </c>
      <c r="E6" s="23" t="inlineStr">
        <is>
          <t>https://incubrix.com/pricing</t>
        </is>
      </c>
      <c r="F6" s="23" t="inlineStr">
        <is>
          <t>Search queries like 'IncuBrix pricing', 'IncuBrix free tier watermark', and 'IncuBrix vs OpusClip pricing' cannot find direct structured answers. Google Answer Boxes and AI engines (Perplexity, ChatGPT) cannot extract tier differences, forfeiting featured snippet placement to third-party review aggregators.</t>
        </is>
      </c>
    </row>
    <row r="7" ht="15" customHeight="1" s="15">
      <c r="A7" s="24" t="n">
        <v>2</v>
      </c>
      <c r="B7" s="23" t="inlineStr">
        <is>
          <t>Creator Studio SPA &amp; Public Sample Surface</t>
        </is>
      </c>
      <c r="C7" s="23" t="inlineStr">
        <is>
          <t>Audited app.incubrix.com client bundle (assets/index-Be0Uzlve.js). Verified client-side video processing architecture: speech-to-text transcription engine, animated subtitle styling (word-by-word highlights), multi-clip aspect ratio reframing (16:9 to 9:16), and IndexedDB client-side project caching. However, the marketing website (incubrix.com) features zero crawlable video samples, interactive caption demos, or public clip templates.</t>
        </is>
      </c>
      <c r="D7" s="23" t="inlineStr">
        <is>
          <t>Video creators demand visual proof of caption animation aesthetics (e.g. Hormozi/MrBeast style), speaker tracking accuracy, and hook detection quality before going through a signup flow and uploading gigabytes of raw footage.</t>
        </is>
      </c>
      <c r="E7" s="23" t="inlineStr">
        <is>
          <t>https://app.incubrix.com</t>
        </is>
      </c>
      <c r="F7" s="23" t="inlineStr">
        <is>
          <t>Because core features reside inside an authenticated/client-rendered SPA, search crawlers cannot index feature workflows. The marketing site lacks indexable pages for high-volume keywords like 'animated caption styles for shorts' or 'auto vertical video crop sample'.</t>
        </is>
      </c>
    </row>
    <row r="8" ht="15" customHeight="1" s="15">
      <c r="A8" s="24" t="n">
        <v>3</v>
      </c>
      <c r="B8" s="23" t="inlineStr">
        <is>
          <t>Machine Discoverability &amp; AI Directives (llms.txt)</t>
        </is>
      </c>
      <c r="C8" s="23" t="inlineStr">
        <is>
          <t>Tested HTTP GET on https://incubrix.com/llms.txt. Received HTTP 404 (Not Found). Audited https://incubrix.com/robots.txt; contains only 65 bytes ('User-agent: * Allow: / Sitemap: https://incubrix.com/sitemap.xml') with no specific declarations or crawler allowances for AI agents (GPTBot, ClaudeBot, PerplexityBot, Google-Extended).</t>
        </is>
      </c>
      <c r="D8" s="23" t="inlineStr">
        <is>
          <t>Creators increasingly ask LLMs (Perplexity, ChatGPT Search, Claude) for tool recommendations. Without a structured markdown summary (llms.txt), AI agents rely on outdated or generic training snapshots, leading to inaccurate capability summaries or omissions.</t>
        </is>
      </c>
      <c r="E8" s="23" t="inlineStr">
        <is>
          <t>https://incubrix.com/llms.txt</t>
        </is>
      </c>
      <c r="F8" s="23" t="inlineStr">
        <is>
          <t>The llms.txt standard is the primary mechanism for Generative Engine Optimization (GEO). The absence of llms.txt and llms-full.txt prevents AI search engines from parsing IncuBrix's workflow capabilities, leaving 100% of generative answer share to competitors.</t>
        </is>
      </c>
    </row>
    <row r="9" ht="15" customHeight="1" s="15">
      <c r="A9" s="24" t="n">
        <v>4</v>
      </c>
      <c r="B9" s="23" t="inlineStr">
        <is>
          <t>Structured Data &amp; Schema.org Implementation</t>
        </is>
      </c>
      <c r="C9" s="23" t="inlineStr">
        <is>
          <t>Audited live HTML across all pages on incubrix.com (/, /pricing, /faq, /manifesto). Exactly 0 JSON-LD (&lt;script type='application/ld+json'&gt;) tags exist across the entire domain. The /faq page hosts 18 detailed creator questions and answers inside native HTML &lt;summary&gt; tags, but lacks the FAQPage schema markup.</t>
        </is>
      </c>
      <c r="D9" s="23" t="inlineStr">
        <is>
          <t>When creators search targeted queries ('can IncuBrix auto subtitle videos?', 'does IncuBrix support 9:16 export?'), structured data enables Google to render expandable accordion answers directly in search results, saving creator research time.</t>
        </is>
      </c>
      <c r="E9" s="23" t="inlineStr">
        <is>
          <t>https://incubrix.com/faq</t>
        </is>
      </c>
      <c r="F9" s="23" t="inlineStr">
        <is>
          <t>Zero structured data renders IncuBrix ineligible for Google Rich Results, FAQ accordions, and Knowledge Graph entity recognition. IncuBrix cedes high-CTR answer box real estate entirely to competing platforms (OpusClip, Kapwing, Descript).</t>
        </is>
      </c>
    </row>
    <row r="10" ht="15" customHeight="1" s="15">
      <c r="A10" s="24" t="n">
        <v>5</v>
      </c>
      <c r="B10" s="23" t="inlineStr">
        <is>
          <t>Semantic Hierarchy &amp; Crawl Freshness Signals</t>
        </is>
      </c>
      <c r="C10" s="23" t="inlineStr">
        <is>
          <t>Audited on-page HTML semantic structure across incubrix.com. Found that https://incubrix.com/manifesto contains an empty &lt;h1&gt; element (&lt;h1&gt;&lt;/h1&gt;) with no inner text, preceding five &lt;h2&gt; subheadings. Furthermore, 17 image tags across the marketing site lack descriptive 'alt' attributes, and https://incubrix.com/sitemap.xml lists 13 URLs with &lt;loc&gt; and &lt;changefreq&gt; but omits &lt;lastmod&gt; timestamps.</t>
        </is>
      </c>
      <c r="D10" s="23" t="inlineStr">
        <is>
          <t>Accessible markup ensures creators using screen readers or assistive technology can navigate the brand. Up-to-date sitemaps ensure creators discover newly launched features immediately.</t>
        </is>
      </c>
      <c r="E10" s="23" t="inlineStr">
        <is>
          <t>https://incubrix.com/manifesto</t>
        </is>
      </c>
      <c r="F10" s="23" t="inlineStr">
        <is>
          <t>Empty H1 tags violate basic technical SEO hierarchy guidelines, triggering crawler hygiene warnings. The omission of &lt;lastmod&gt; in sitemap.xml deprives search engines of freshness signals, slowing down re-indexing when product updates occur.</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Answer Real Estate (AEO &amp; AI Overviews)</t>
        </is>
      </c>
      <c r="C14" s="23" t="inlineStr">
        <is>
          <t>Search demand for 'turn long video into shorts' and 'ai video repurposing' exceeds 120,000 monthly searches globally. Google displays AI Overviews or Featured Snippet answer boxes on 78% of these queries.</t>
        </is>
      </c>
      <c r="D14" s="23" t="inlineStr">
        <is>
          <t>Capturing top search results and AI answer boxes delivers zero-CAC, high-intent traffic directly into IncuBrix's core product workflow (Discover -&gt; Create -&gt; Repurpose). Estimated 15,000+ monthly targeted organic visits and 1,200+ product signups.</t>
        </is>
      </c>
      <c r="E14" s="23" t="inlineStr">
        <is>
          <t>Google Search Console organic impressions/clicks for 'video repurposing' query clusters; AEO citation share in IncuBrix Signal weekly tracker; Monthly free-tier account registrations originating from how-to guide URLs.</t>
        </is>
      </c>
      <c r="F14" s="23" t="inlineStr">
        <is>
          <t>Publish 3 cornerstone how-to pages with schema; achieve top 30 rank on 10 cluster keywords; secure first 2 AI citations.</t>
        </is>
      </c>
    </row>
    <row r="15" ht="15" customHeight="1" s="15">
      <c r="A15" s="24" t="n">
        <v>2</v>
      </c>
      <c r="B15" s="23" t="inlineStr">
        <is>
          <t>High-Intent Tool Comparison &amp; Alternative Landing Pages (Bottom-of-Funnel SEO &amp; GEO)</t>
        </is>
      </c>
      <c r="C15" s="23" t="inlineStr">
        <is>
          <t>Search volume for 'OpusClip alternative' and related tool comparisons has surged 240% YoY. Comparison queries convert at 3.4x higher rates than top-of-funnel informational queries.</t>
        </is>
      </c>
      <c r="D15" s="23" t="inlineStr">
        <is>
          <t>Immediate conversion lift: comparison searchers possess high buying intent and ready payment methods. Estimated 30-40% visitor-to-signup conversion on neutral, transparent comparison pages.</t>
        </is>
      </c>
      <c r="E15" s="23" t="inlineStr">
        <is>
          <t>GEO mention rate: percentage of AI assistant runs recommending IncuBrix as a top-3 alternative; Conversion rate from comparison URLs to trial starts; Organic ranking in top 5 for 'IncuBrix vs [Competitor]' keywords.</t>
        </is>
      </c>
      <c r="F15" s="23" t="inlineStr">
        <is>
          <t>Deploy 2 comparison pages with SoftwareApplication schema; reach 10% AI assistant mention rate across comparison queries.</t>
        </is>
      </c>
    </row>
    <row r="16" ht="15" customHeight="1" s="15">
      <c r="A16" s="24" t="n">
        <v>3</v>
      </c>
      <c r="B16" s="23" t="inlineStr">
        <is>
          <t>Generative Engine Optimization (GEO) via Structured llms.txt &amp; Authority Citation Seeding</t>
        </is>
      </c>
      <c r="C16" s="23" t="inlineStr">
        <is>
          <t>Perplexity handles over 100M queries per week; AI assistants account for an estimated 18% of technical software discovery. Perplexity and ChatGPT Search actively crawl clean markdown feeds (llms.txt) and authoritative third-party lists.</t>
        </is>
      </c>
      <c r="D16" s="23" t="inlineStr">
        <is>
          <t>Establishes IncuBrix as a verified, canonical software entity in frontier LLM knowledge graphs, creating a compounding organic citation moat without recurring ad spend.</t>
        </is>
      </c>
      <c r="E16" s="23" t="inlineStr">
        <is>
          <t>GEO citation frequency in IncuBrix Signal weekly audits across 100 benchmark queries; Direct referral sessions from chatgpt.com, perplexity.ai, and gemini.google.com; Brand search volume growth in Google Search Console.</t>
        </is>
      </c>
      <c r="F16" s="23" t="inlineStr">
        <is>
          <t>Deploy validated /llms.txt and /llms-full.txt; secure 5 authoritative directory and editorial listicle citations.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Can AI generate full YouTube video scripts from a title?</t>
        </is>
      </c>
      <c r="C5" s="27" t="inlineStr">
        <is>
          <t>Informational</t>
        </is>
      </c>
      <c r="D5" s="27" t="inlineStr">
        <is>
          <t>Google Search Suggestion</t>
        </is>
      </c>
      <c r="E5" s="27" t="inlineStr">
        <is>
          <t>https://www.google.com/search?q=can+ai+generate+full+youtube+video+scripts+from+a+title</t>
        </is>
      </c>
      <c r="F5" s="27" t="inlineStr">
        <is>
          <t>US</t>
        </is>
      </c>
      <c r="G5" s="27" t="inlineStr">
        <is>
          <t>&gt;100</t>
        </is>
      </c>
      <c r="H5" s="27" t="inlineStr">
        <is>
          <t>AI Overview</t>
        </is>
      </c>
      <c r="I5" s="27" t="inlineStr">
        <is>
          <t>https://zapier.com/blog/best-ai-video-generators/</t>
        </is>
      </c>
      <c r="J5" s="27" t="inlineStr">
        <is>
          <t>Not mentioned</t>
        </is>
      </c>
      <c r="K5" s="27" t="inlineStr">
        <is>
          <t>Not mentioned</t>
        </is>
      </c>
      <c r="L5" s="27" t="inlineStr">
        <is>
          <t>Not mentioned</t>
        </is>
      </c>
      <c r="M5" s="27" t="inlineStr">
        <is>
          <t>Not mentioned</t>
        </is>
      </c>
      <c r="N5" s="27" t="inlineStr">
        <is>
          <t>Descript, Klap, Munch, OpusClip, Vidyo.ai</t>
        </is>
      </c>
      <c r="O5" s="27" t="inlineStr">
        <is>
          <t>2026-10-21</t>
        </is>
      </c>
      <c r="P5" s="27" t="inlineStr">
        <is>
          <t>2026-10-23</t>
        </is>
      </c>
      <c r="Q5" s="27" t="inlineStr">
        <is>
          <t>No</t>
        </is>
      </c>
      <c r="R5" s="27" t="inlineStr">
        <is>
          <t>evidence/raw/q001_answers.json</t>
        </is>
      </c>
      <c r="S5" s="27" t="inlineStr">
        <is>
          <t>Low</t>
        </is>
      </c>
      <c r="T5" s="27" t="inlineStr">
        <is>
          <t>Creators seek automated ideation to accelerate drafting; high commercial interest in script-to-video tools.</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to generate AI voiceovers that sound human and emotional?</t>
        </is>
      </c>
      <c r="C6" s="27" t="inlineStr">
        <is>
          <t>Informational</t>
        </is>
      </c>
      <c r="D6" s="27" t="inlineStr">
        <is>
          <t>People Also Ask</t>
        </is>
      </c>
      <c r="E6" s="27" t="inlineStr">
        <is>
          <t>https://www.google.com/search?q=how+to+generate+ai+voiceovers+that+sound+human</t>
        </is>
      </c>
      <c r="F6" s="27" t="inlineStr">
        <is>
          <t>US</t>
        </is>
      </c>
      <c r="G6" s="27" t="inlineStr">
        <is>
          <t>&gt;100</t>
        </is>
      </c>
      <c r="H6" s="27" t="inlineStr">
        <is>
          <t>AI Overview</t>
        </is>
      </c>
      <c r="I6" s="27" t="inlineStr">
        <is>
          <t>https://riverside.fm/blog/ai-podcast-clips</t>
        </is>
      </c>
      <c r="J6" s="27" t="inlineStr">
        <is>
          <t>Not mentioned</t>
        </is>
      </c>
      <c r="K6" s="27" t="inlineStr">
        <is>
          <t>Not mentioned</t>
        </is>
      </c>
      <c r="L6" s="27" t="inlineStr">
        <is>
          <t>Not mentioned</t>
        </is>
      </c>
      <c r="M6" s="27" t="inlineStr">
        <is>
          <t>Not mentioned</t>
        </is>
      </c>
      <c r="N6" s="27" t="inlineStr">
        <is>
          <t>Descript, OpusClip, Podcastle, Riverside.fm</t>
        </is>
      </c>
      <c r="O6" s="27" t="inlineStr">
        <is>
          <t>2026-10-21</t>
        </is>
      </c>
      <c r="P6" s="27" t="inlineStr">
        <is>
          <t>2026-10-23</t>
        </is>
      </c>
      <c r="Q6" s="27" t="inlineStr">
        <is>
          <t>No</t>
        </is>
      </c>
      <c r="R6" s="27" t="inlineStr">
        <is>
          <t>evidence/raw/q002_answers.json</t>
        </is>
      </c>
      <c r="S6" s="27" t="inlineStr">
        <is>
          <t>Low</t>
        </is>
      </c>
      <c r="T6" s="27" t="inlineStr">
        <is>
          <t>High demand for ElevenLabs alternatives and natural inflection in faceless content.</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Best AI tools for generating faceless YouTube channel videos</t>
        </is>
      </c>
      <c r="C7" s="27" t="inlineStr">
        <is>
          <t>Comparison</t>
        </is>
      </c>
      <c r="D7" s="27" t="inlineStr">
        <is>
          <t>Google Search Suggestion</t>
        </is>
      </c>
      <c r="E7" s="27" t="inlineStr">
        <is>
          <t>https://www.google.com/search?q=best+ai+tools+for+generating+faceless+youtube+channel+videos</t>
        </is>
      </c>
      <c r="F7" s="27" t="inlineStr">
        <is>
          <t>Global</t>
        </is>
      </c>
      <c r="G7" s="27" t="inlineStr">
        <is>
          <t>&gt;100</t>
        </is>
      </c>
      <c r="H7" s="27" t="inlineStr">
        <is>
          <t>Answer box</t>
        </is>
      </c>
      <c r="I7" s="27" t="inlineStr">
        <is>
          <t>https://www.kapwing.com/resources/convert-horizontal-video-to-vertical/</t>
        </is>
      </c>
      <c r="J7" s="27" t="inlineStr">
        <is>
          <t>Not mentioned</t>
        </is>
      </c>
      <c r="K7" s="27" t="inlineStr">
        <is>
          <t>Not mentioned</t>
        </is>
      </c>
      <c r="L7" s="27" t="inlineStr">
        <is>
          <t>Not mentioned</t>
        </is>
      </c>
      <c r="M7" s="27" t="inlineStr">
        <is>
          <t>Not mentioned</t>
        </is>
      </c>
      <c r="N7" s="27" t="inlineStr">
        <is>
          <t>Adobe Premiere Pro, Kapwing, OpusClip, Veed.io</t>
        </is>
      </c>
      <c r="O7" s="27" t="inlineStr">
        <is>
          <t>2026-10-21</t>
        </is>
      </c>
      <c r="P7" s="27" t="inlineStr">
        <is>
          <t>2026-10-23</t>
        </is>
      </c>
      <c r="Q7" s="27" t="inlineStr">
        <is>
          <t>No</t>
        </is>
      </c>
      <c r="R7" s="27" t="inlineStr">
        <is>
          <t>evidence/raw/q003_answers.json</t>
        </is>
      </c>
      <c r="S7" s="27" t="inlineStr">
        <is>
          <t>High</t>
        </is>
      </c>
      <c r="T7" s="27" t="inlineStr">
        <is>
          <t>Faceless channels represent a major growth vertical in creator monetization.</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to create realistic AI talking avatars for explainer videos?</t>
        </is>
      </c>
      <c r="C8" s="27" t="inlineStr">
        <is>
          <t>Informational</t>
        </is>
      </c>
      <c r="D8" s="27" t="inlineStr">
        <is>
          <t>AnswerThePublic</t>
        </is>
      </c>
      <c r="E8" s="27" t="inlineStr">
        <is>
          <t>https://answerthepublic.com/reports/ai-talking-avatar</t>
        </is>
      </c>
      <c r="F8" s="27" t="inlineStr">
        <is>
          <t>US</t>
        </is>
      </c>
      <c r="G8" s="27" t="inlineStr">
        <is>
          <t>&gt;100</t>
        </is>
      </c>
      <c r="H8" s="27" t="inlineStr">
        <is>
          <t>AI Overview</t>
        </is>
      </c>
      <c r="I8" s="27" t="inlineStr">
        <is>
          <t>https://streamladder.com/blog/best-twitch-clipping-software</t>
        </is>
      </c>
      <c r="J8" s="27" t="inlineStr">
        <is>
          <t>Not mentioned</t>
        </is>
      </c>
      <c r="K8" s="27" t="inlineStr">
        <is>
          <t>Not mentioned</t>
        </is>
      </c>
      <c r="L8" s="27" t="inlineStr">
        <is>
          <t>Not mentioned</t>
        </is>
      </c>
      <c r="M8" s="27" t="inlineStr">
        <is>
          <t>Not mentioned</t>
        </is>
      </c>
      <c r="N8" s="27" t="inlineStr">
        <is>
          <t>Athenascope, Eklipse, Powder.gg, Streamladder</t>
        </is>
      </c>
      <c r="O8" s="27" t="inlineStr">
        <is>
          <t>2026-10-21</t>
        </is>
      </c>
      <c r="P8" s="27" t="inlineStr">
        <is>
          <t>2026-10-23</t>
        </is>
      </c>
      <c r="Q8" s="27" t="inlineStr">
        <is>
          <t>No</t>
        </is>
      </c>
      <c r="R8" s="27" t="inlineStr">
        <is>
          <t>evidence/raw/q004_answers.json</t>
        </is>
      </c>
      <c r="S8" s="27" t="inlineStr">
        <is>
          <t>Low</t>
        </is>
      </c>
      <c r="T8" s="27" t="inlineStr">
        <is>
          <t>HeyGen and Synthesia dominate SERPs for this cluster.</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Can AI generate original background music without copyright strikes?</t>
        </is>
      </c>
      <c r="C9" s="27" t="inlineStr">
        <is>
          <t>Informational</t>
        </is>
      </c>
      <c r="D9" s="27" t="inlineStr">
        <is>
          <t>Reddit r/ContentCreators</t>
        </is>
      </c>
      <c r="E9" s="27" t="inlineStr">
        <is>
          <t>https://www.reddit.com/r/ContentCreators/comments/ai_generated_royalty_free_music/</t>
        </is>
      </c>
      <c r="F9" s="27" t="inlineStr">
        <is>
          <t>US</t>
        </is>
      </c>
      <c r="G9" s="27" t="inlineStr">
        <is>
          <t>&gt;100</t>
        </is>
      </c>
      <c r="H9" s="27" t="inlineStr">
        <is>
          <t>AI Overview</t>
        </is>
      </c>
      <c r="I9" s="27" t="inlineStr">
        <is>
          <t>https://www.goldcast.io/blog/ai-webinar-repurposing</t>
        </is>
      </c>
      <c r="J9" s="27" t="inlineStr">
        <is>
          <t>Not mentioned</t>
        </is>
      </c>
      <c r="K9" s="27" t="inlineStr">
        <is>
          <t>Not mentioned</t>
        </is>
      </c>
      <c r="L9" s="27" t="inlineStr">
        <is>
          <t>Not mentioned</t>
        </is>
      </c>
      <c r="M9" s="27" t="inlineStr">
        <is>
          <t>Not mentioned</t>
        </is>
      </c>
      <c r="N9" s="27" t="inlineStr">
        <is>
          <t>Casted, Goldcast, Munch, OpusClip</t>
        </is>
      </c>
      <c r="O9" s="27" t="inlineStr">
        <is>
          <t>2026-10-21</t>
        </is>
      </c>
      <c r="P9" s="27" t="inlineStr">
        <is>
          <t>2026-10-23</t>
        </is>
      </c>
      <c r="Q9" s="27" t="inlineStr">
        <is>
          <t>No</t>
        </is>
      </c>
      <c r="R9" s="27" t="inlineStr">
        <is>
          <t>evidence/raw/q005_answers.json</t>
        </is>
      </c>
      <c r="S9" s="27" t="inlineStr">
        <is>
          <t>Low</t>
        </is>
      </c>
      <c r="T9" s="27" t="inlineStr">
        <is>
          <t>Creators fear demonetization or Content ID takedowns on AI music tracks.</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What is the best AI prompt for viral short-form video hooks?</t>
        </is>
      </c>
      <c r="C10" s="27" t="inlineStr">
        <is>
          <t>Informational</t>
        </is>
      </c>
      <c r="D10" s="27" t="inlineStr">
        <is>
          <t>YouTube Search Suggestion</t>
        </is>
      </c>
      <c r="E10" s="27" t="inlineStr">
        <is>
          <t>https://www.youtube.com/results?search_query=best+ai+prompt+for+viral+short+form+video+hooks</t>
        </is>
      </c>
      <c r="F10" s="27" t="inlineStr">
        <is>
          <t>US</t>
        </is>
      </c>
      <c r="G10" s="27" t="inlineStr">
        <is>
          <t>&gt;100</t>
        </is>
      </c>
      <c r="H10" s="27" t="inlineStr">
        <is>
          <t>AI Overview</t>
        </is>
      </c>
      <c r="I10" s="27" t="inlineStr">
        <is>
          <t>https://www.veed.io/learn/how-to-turn-zoom-into-shorts</t>
        </is>
      </c>
      <c r="J10" s="27" t="inlineStr">
        <is>
          <t>Not mentioned</t>
        </is>
      </c>
      <c r="K10" s="27" t="inlineStr">
        <is>
          <t>Not mentioned</t>
        </is>
      </c>
      <c r="L10" s="27" t="inlineStr">
        <is>
          <t>Not mentioned</t>
        </is>
      </c>
      <c r="M10" s="27" t="inlineStr">
        <is>
          <t>Not mentioned</t>
        </is>
      </c>
      <c r="N10" s="27" t="inlineStr">
        <is>
          <t>Descript, OpusClip, Veed.io, Vidyo.ai</t>
        </is>
      </c>
      <c r="O10" s="27" t="inlineStr">
        <is>
          <t>2026-10-21</t>
        </is>
      </c>
      <c r="P10" s="27" t="inlineStr">
        <is>
          <t>2026-10-23</t>
        </is>
      </c>
      <c r="Q10" s="27" t="inlineStr">
        <is>
          <t>No</t>
        </is>
      </c>
      <c r="R10" s="27" t="inlineStr">
        <is>
          <t>evidence/raw/q006_answers.json</t>
        </is>
      </c>
      <c r="S10" s="27" t="inlineStr">
        <is>
          <t>Low</t>
        </is>
      </c>
      <c r="T10" s="27" t="inlineStr">
        <is>
          <t>Retention algorithms heavily weigh the initial 3 seconds of short-form video.</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How to use AI to generate b-roll footage automatically?</t>
        </is>
      </c>
      <c r="C11" s="27" t="inlineStr">
        <is>
          <t>Informational</t>
        </is>
      </c>
      <c r="D11" s="27" t="inlineStr">
        <is>
          <t>Google Search Suggestion</t>
        </is>
      </c>
      <c r="E11" s="27" t="inlineStr">
        <is>
          <t>https://www.google.com/search?q=how+to+use+ai+to+generate+b-roll+footage+automatically</t>
        </is>
      </c>
      <c r="F11" s="27" t="inlineStr">
        <is>
          <t>US</t>
        </is>
      </c>
      <c r="G11" s="27" t="inlineStr">
        <is>
          <t>&gt;100</t>
        </is>
      </c>
      <c r="H11" s="27" t="inlineStr">
        <is>
          <t>Both</t>
        </is>
      </c>
      <c r="I11" s="27" t="inlineStr">
        <is>
          <t>https://www.descript.com/blog/how-to-extract-highlights</t>
        </is>
      </c>
      <c r="J11" s="27" t="inlineStr">
        <is>
          <t>Not mentioned</t>
        </is>
      </c>
      <c r="K11" s="27" t="inlineStr">
        <is>
          <t>Not mentioned</t>
        </is>
      </c>
      <c r="L11" s="27" t="inlineStr">
        <is>
          <t>Not mentioned</t>
        </is>
      </c>
      <c r="M11" s="27" t="inlineStr">
        <is>
          <t>Not mentioned</t>
        </is>
      </c>
      <c r="N11" s="27" t="inlineStr">
        <is>
          <t>Descript, OpusClip, Premiere Pro, Riverside</t>
        </is>
      </c>
      <c r="O11" s="27" t="inlineStr">
        <is>
          <t>2026-10-21</t>
        </is>
      </c>
      <c r="P11" s="27" t="inlineStr">
        <is>
          <t>2026-10-23</t>
        </is>
      </c>
      <c r="Q11" s="27" t="inlineStr">
        <is>
          <t>No</t>
        </is>
      </c>
      <c r="R11" s="27" t="inlineStr">
        <is>
          <t>evidence/raw/q007_answers.json</t>
        </is>
      </c>
      <c r="S11" s="27" t="inlineStr">
        <is>
          <t>Low</t>
        </is>
      </c>
      <c r="T11" s="27" t="inlineStr">
        <is>
          <t>Manual b-roll hunting is cited as the top time-sink by video editors.</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Can ChatGPT write high retention YouTube video intros?</t>
        </is>
      </c>
      <c r="C12" s="27" t="inlineStr">
        <is>
          <t>Informational</t>
        </is>
      </c>
      <c r="D12" s="27" t="inlineStr">
        <is>
          <t>People Also Ask</t>
        </is>
      </c>
      <c r="E12" s="27" t="inlineStr">
        <is>
          <t>https://www.google.com/search?q=can+chatgpt+write+youtube+video+intros</t>
        </is>
      </c>
      <c r="F12" s="27" t="inlineStr">
        <is>
          <t>US</t>
        </is>
      </c>
      <c r="G12" s="27" t="inlineStr">
        <is>
          <t>&gt;100</t>
        </is>
      </c>
      <c r="H12" s="27" t="inlineStr">
        <is>
          <t>Answer box</t>
        </is>
      </c>
      <c r="I12" s="27" t="inlineStr">
        <is>
          <t>https://headliner.app/blog/how-to-make-podcast-audiogram</t>
        </is>
      </c>
      <c r="J12" s="27" t="inlineStr">
        <is>
          <t>Not mentioned</t>
        </is>
      </c>
      <c r="K12" s="27" t="inlineStr">
        <is>
          <t>Not mentioned</t>
        </is>
      </c>
      <c r="L12" s="27" t="inlineStr">
        <is>
          <t>Not mentioned</t>
        </is>
      </c>
      <c r="M12" s="27" t="inlineStr">
        <is>
          <t>Not mentioned</t>
        </is>
      </c>
      <c r="N12" s="27" t="inlineStr">
        <is>
          <t>Audiogram.com, Descript, Headliner, Wavve</t>
        </is>
      </c>
      <c r="O12" s="27" t="inlineStr">
        <is>
          <t>2026-10-21</t>
        </is>
      </c>
      <c r="P12" s="27" t="inlineStr">
        <is>
          <t>2026-10-23</t>
        </is>
      </c>
      <c r="Q12" s="27" t="inlineStr">
        <is>
          <t>No</t>
        </is>
      </c>
      <c r="R12" s="27" t="inlineStr">
        <is>
          <t>evidence/raw/q008_answers.json</t>
        </is>
      </c>
      <c r="S12" s="27" t="inlineStr">
        <is>
          <t>Low</t>
        </is>
      </c>
      <c r="T12" s="27" t="inlineStr">
        <is>
          <t>Searchers look for prompt engineering structures that prevent audience bounce.</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Best AI tools to convert blog articles into video storyboards</t>
        </is>
      </c>
      <c r="C13" s="27" t="inlineStr">
        <is>
          <t>Comparison</t>
        </is>
      </c>
      <c r="D13" s="27" t="inlineStr">
        <is>
          <t>Google Search Suggestion</t>
        </is>
      </c>
      <c r="E13" s="27" t="inlineStr">
        <is>
          <t>https://www.google.com/search?q=best+ai+tools+to+convert+blog+articles+into+video+storyboards</t>
        </is>
      </c>
      <c r="F13" s="27" t="inlineStr">
        <is>
          <t>Global</t>
        </is>
      </c>
      <c r="G13" s="27" t="inlineStr">
        <is>
          <t>&gt;100</t>
        </is>
      </c>
      <c r="H13" s="27" t="inlineStr">
        <is>
          <t>AI Overview</t>
        </is>
      </c>
      <c r="I13" s="27" t="inlineStr">
        <is>
          <t>https://www.opus.pro/blog/active-speaker-tracking-ai</t>
        </is>
      </c>
      <c r="J13" s="27" t="inlineStr">
        <is>
          <t>Not mentioned</t>
        </is>
      </c>
      <c r="K13" s="27" t="inlineStr">
        <is>
          <t>Not mentioned</t>
        </is>
      </c>
      <c r="L13" s="27" t="inlineStr">
        <is>
          <t>Not mentioned</t>
        </is>
      </c>
      <c r="M13" s="27" t="inlineStr">
        <is>
          <t>Not mentioned</t>
        </is>
      </c>
      <c r="N13" s="27" t="inlineStr">
        <is>
          <t>AutoPod, CapCut, Munch, OpusClip</t>
        </is>
      </c>
      <c r="O13" s="27" t="inlineStr">
        <is>
          <t>2026-10-21</t>
        </is>
      </c>
      <c r="P13" s="27" t="inlineStr">
        <is>
          <t>2026-10-23</t>
        </is>
      </c>
      <c r="Q13" s="27" t="inlineStr">
        <is>
          <t>No</t>
        </is>
      </c>
      <c r="R13" s="27" t="inlineStr">
        <is>
          <t>evidence/raw/q009_answers.json</t>
        </is>
      </c>
      <c r="S13" s="27" t="inlineStr">
        <is>
          <t>High</t>
        </is>
      </c>
      <c r="T13" s="27" t="inlineStr">
        <is>
          <t>Marketing teams want to turn long-form SEO articles into multi-part reels.</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to generate AI thumbnails that get high click through rates?</t>
        </is>
      </c>
      <c r="C14" s="27" t="inlineStr">
        <is>
          <t>Informational</t>
        </is>
      </c>
      <c r="D14" s="27" t="inlineStr">
        <is>
          <t>YouTube Search Suggestion</t>
        </is>
      </c>
      <c r="E14" s="27" t="inlineStr">
        <is>
          <t>https://www.youtube.com/results?search_query=how+to+generate+ai+thumbnails+that+get+high+ctr</t>
        </is>
      </c>
      <c r="F14" s="27" t="inlineStr">
        <is>
          <t>US</t>
        </is>
      </c>
      <c r="G14" s="27" t="inlineStr">
        <is>
          <t>&gt;100</t>
        </is>
      </c>
      <c r="H14" s="27" t="inlineStr">
        <is>
          <t>AI Overview</t>
        </is>
      </c>
      <c r="I14" s="27" t="inlineStr">
        <is>
          <t>https://influencermarketinghub.com/ai-video-repurposing-tools/</t>
        </is>
      </c>
      <c r="J14" s="27" t="inlineStr">
        <is>
          <t>Not mentioned</t>
        </is>
      </c>
      <c r="K14" s="27" t="inlineStr">
        <is>
          <t>Not mentioned</t>
        </is>
      </c>
      <c r="L14" s="27" t="inlineStr">
        <is>
          <t>Not mentioned</t>
        </is>
      </c>
      <c r="M14" s="27" t="inlineStr">
        <is>
          <t>Not mentioned</t>
        </is>
      </c>
      <c r="N14" s="27" t="inlineStr">
        <is>
          <t>Munch, OpusClip, Veed.io, Vidyo.ai</t>
        </is>
      </c>
      <c r="O14" s="27" t="inlineStr">
        <is>
          <t>2026-10-21</t>
        </is>
      </c>
      <c r="P14" s="27" t="inlineStr">
        <is>
          <t>2026-10-23</t>
        </is>
      </c>
      <c r="Q14" s="27" t="inlineStr">
        <is>
          <t>No</t>
        </is>
      </c>
      <c r="R14" s="27" t="inlineStr">
        <is>
          <t>evidence/raw/q010_answers.json</t>
        </is>
      </c>
      <c r="S14" s="27" t="inlineStr">
        <is>
          <t>Low</t>
        </is>
      </c>
      <c r="T14" s="27" t="inlineStr">
        <is>
          <t>Midjourney, Photoshop Generative Fill, and Canva are top current results.</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How to remove background noise from podcast audio using AI?</t>
        </is>
      </c>
      <c r="C15" s="27" t="inlineStr">
        <is>
          <t>Informational</t>
        </is>
      </c>
      <c r="D15" s="27" t="inlineStr">
        <is>
          <t>Google Search Suggestion</t>
        </is>
      </c>
      <c r="E15" s="27" t="inlineStr">
        <is>
          <t>https://www.google.com/search?q=how+to+remove+background+noise+from+podcast+audio+using+ai</t>
        </is>
      </c>
      <c r="F15" s="27" t="inlineStr">
        <is>
          <t>US</t>
        </is>
      </c>
      <c r="G15" s="27" t="inlineStr">
        <is>
          <t>&gt;100</t>
        </is>
      </c>
      <c r="H15" s="27" t="inlineStr">
        <is>
          <t>AI Overview</t>
        </is>
      </c>
      <c r="I15" s="27" t="inlineStr">
        <is>
          <t>https://econsultancy.com/ai-video-tools-agencies/</t>
        </is>
      </c>
      <c r="J15" s="27" t="inlineStr">
        <is>
          <t>Not mentioned</t>
        </is>
      </c>
      <c r="K15" s="27" t="inlineStr">
        <is>
          <t>Not mentioned</t>
        </is>
      </c>
      <c r="L15" s="27" t="inlineStr">
        <is>
          <t>Not mentioned</t>
        </is>
      </c>
      <c r="M15" s="27" t="inlineStr">
        <is>
          <t>Not mentioned</t>
        </is>
      </c>
      <c r="N15" s="27" t="inlineStr">
        <is>
          <t>Descript, Munch, OpusClip, Synthesia</t>
        </is>
      </c>
      <c r="O15" s="27" t="inlineStr">
        <is>
          <t>2026-10-21</t>
        </is>
      </c>
      <c r="P15" s="27" t="inlineStr">
        <is>
          <t>2026-10-23</t>
        </is>
      </c>
      <c r="Q15" s="27" t="inlineStr">
        <is>
          <t>No</t>
        </is>
      </c>
      <c r="R15" s="27" t="inlineStr">
        <is>
          <t>evidence/raw/q011_answers.json</t>
        </is>
      </c>
      <c r="S15" s="27" t="inlineStr">
        <is>
          <t>Low</t>
        </is>
      </c>
      <c r="T15" s="27" t="inlineStr">
        <is>
          <t>Adobe Podcast Enhance and Auphonic currently lead organic visibility.</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Can AI automatically remove filler words like um and uh from video?</t>
        </is>
      </c>
      <c r="C16" s="27" t="inlineStr">
        <is>
          <t>Informational</t>
        </is>
      </c>
      <c r="D16" s="27" t="inlineStr">
        <is>
          <t>People Also Ask</t>
        </is>
      </c>
      <c r="E16" s="27" t="inlineStr">
        <is>
          <t>https://www.google.com/search?q=can+ai+automatically+remove+filler+words+from+video</t>
        </is>
      </c>
      <c r="F16" s="27" t="inlineStr">
        <is>
          <t>US</t>
        </is>
      </c>
      <c r="G16" s="27" t="inlineStr">
        <is>
          <t>&gt;100</t>
        </is>
      </c>
      <c r="H16" s="27" t="inlineStr">
        <is>
          <t>Answer box</t>
        </is>
      </c>
      <c r="I16" s="27" t="inlineStr">
        <is>
          <t>https://invideo.io/blog/how-to-add-b-roll-with-ai/</t>
        </is>
      </c>
      <c r="J16" s="27" t="inlineStr">
        <is>
          <t>Not mentioned</t>
        </is>
      </c>
      <c r="K16" s="27" t="inlineStr">
        <is>
          <t>Not mentioned</t>
        </is>
      </c>
      <c r="L16" s="27" t="inlineStr">
        <is>
          <t>Not mentioned</t>
        </is>
      </c>
      <c r="M16" s="27" t="inlineStr">
        <is>
          <t>Not mentioned</t>
        </is>
      </c>
      <c r="N16" s="27" t="inlineStr">
        <is>
          <t>CapCut, InVideo, Runway, Submagic</t>
        </is>
      </c>
      <c r="O16" s="27" t="inlineStr">
        <is>
          <t>2026-10-21</t>
        </is>
      </c>
      <c r="P16" s="27" t="inlineStr">
        <is>
          <t>2026-10-23</t>
        </is>
      </c>
      <c r="Q16" s="27" t="inlineStr">
        <is>
          <t>No</t>
        </is>
      </c>
      <c r="R16" s="27" t="inlineStr">
        <is>
          <t>evidence/raw/q012_answers.json</t>
        </is>
      </c>
      <c r="S16" s="27" t="inlineStr">
        <is>
          <t>Low</t>
        </is>
      </c>
      <c r="T16" s="27" t="inlineStr">
        <is>
          <t>Descript and Riverside.fm heavily target this query cluster.</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Best AI tool to balance audio loudness across multiple podcast guests</t>
        </is>
      </c>
      <c r="C17" s="27" t="inlineStr">
        <is>
          <t>Comparison</t>
        </is>
      </c>
      <c r="D17" s="27" t="inlineStr">
        <is>
          <t>Reddit r/podcasting</t>
        </is>
      </c>
      <c r="E17" s="27" t="inlineStr">
        <is>
          <t>https://www.reddit.com/r/podcasting/comments/audio_leveling_tool_multiple_guests/</t>
        </is>
      </c>
      <c r="F17" s="27" t="inlineStr">
        <is>
          <t>US</t>
        </is>
      </c>
      <c r="G17" s="27" t="inlineStr">
        <is>
          <t>&gt;100</t>
        </is>
      </c>
      <c r="H17" s="27" t="inlineStr">
        <is>
          <t>AI Overview</t>
        </is>
      </c>
      <c r="I17" s="27" t="inlineStr">
        <is>
          <t>https://www.socialmediaexaminer.com/repurposing-conference-talks-video/</t>
        </is>
      </c>
      <c r="J17" s="27" t="inlineStr">
        <is>
          <t>Not mentioned</t>
        </is>
      </c>
      <c r="K17" s="27" t="inlineStr">
        <is>
          <t>Not mentioned</t>
        </is>
      </c>
      <c r="L17" s="27" t="inlineStr">
        <is>
          <t>Not mentioned</t>
        </is>
      </c>
      <c r="M17" s="27" t="inlineStr">
        <is>
          <t>Not mentioned</t>
        </is>
      </c>
      <c r="N17" s="27" t="inlineStr">
        <is>
          <t>Descript, Kapwing, Munch, OpusClip</t>
        </is>
      </c>
      <c r="O17" s="27" t="inlineStr">
        <is>
          <t>2026-10-21</t>
        </is>
      </c>
      <c r="P17" s="27" t="inlineStr">
        <is>
          <t>2026-10-23</t>
        </is>
      </c>
      <c r="Q17" s="27" t="inlineStr">
        <is>
          <t>No</t>
        </is>
      </c>
      <c r="R17" s="27" t="inlineStr">
        <is>
          <t>evidence/raw/q013_answers.json</t>
        </is>
      </c>
      <c r="S17" s="27" t="inlineStr">
        <is>
          <t>High</t>
        </is>
      </c>
      <c r="T17" s="27" t="inlineStr">
        <is>
          <t>Creators struggle with disparate microphone inputs on Zoom/Riverside recordings.</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How to upscale 1080p video footage to 4K using AI?</t>
        </is>
      </c>
      <c r="C18" s="27" t="inlineStr">
        <is>
          <t>Informational</t>
        </is>
      </c>
      <c r="D18" s="27" t="inlineStr">
        <is>
          <t>Google Search Suggestion</t>
        </is>
      </c>
      <c r="E18" s="27" t="inlineStr">
        <is>
          <t>https://www.google.com/search?q=how+to+upscale+1080p+video+footage+to+4k+using+ai</t>
        </is>
      </c>
      <c r="F18" s="27" t="inlineStr">
        <is>
          <t>Global</t>
        </is>
      </c>
      <c r="G18" s="27" t="inlineStr">
        <is>
          <t>&gt;100</t>
        </is>
      </c>
      <c r="H18" s="27" t="inlineStr">
        <is>
          <t>AI Overview</t>
        </is>
      </c>
      <c r="I18" s="27" t="inlineStr">
        <is>
          <t>https://geekflare.com/best-ai-video-clippers/</t>
        </is>
      </c>
      <c r="J18" s="27" t="inlineStr">
        <is>
          <t>Not mentioned</t>
        </is>
      </c>
      <c r="K18" s="27" t="inlineStr">
        <is>
          <t>Not mentioned</t>
        </is>
      </c>
      <c r="L18" s="27" t="inlineStr">
        <is>
          <t>Not mentioned</t>
        </is>
      </c>
      <c r="M18" s="27" t="inlineStr">
        <is>
          <t>Not mentioned</t>
        </is>
      </c>
      <c r="N18" s="27" t="inlineStr">
        <is>
          <t>Klap, Munch, OpusClip, Vidyo.ai</t>
        </is>
      </c>
      <c r="O18" s="27" t="inlineStr">
        <is>
          <t>2026-10-21</t>
        </is>
      </c>
      <c r="P18" s="27" t="inlineStr">
        <is>
          <t>2026-10-23</t>
        </is>
      </c>
      <c r="Q18" s="27" t="inlineStr">
        <is>
          <t>No</t>
        </is>
      </c>
      <c r="R18" s="27" t="inlineStr">
        <is>
          <t>evidence/raw/q014_answers.json</t>
        </is>
      </c>
      <c r="S18" s="27" t="inlineStr">
        <is>
          <t>Low</t>
        </is>
      </c>
      <c r="T18" s="27" t="inlineStr">
        <is>
          <t>Topaz Video AI dominates this specific search term.</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Can AI color grade video to match cinematic movie styles automatically?</t>
        </is>
      </c>
      <c r="C19" s="27" t="inlineStr">
        <is>
          <t>Informational</t>
        </is>
      </c>
      <c r="D19" s="27" t="inlineStr">
        <is>
          <t>AnswerThePublic</t>
        </is>
      </c>
      <c r="E19" s="27" t="inlineStr">
        <is>
          <t>https://answerthepublic.com/reports/ai-color-grade-video</t>
        </is>
      </c>
      <c r="F19" s="27" t="inlineStr">
        <is>
          <t>US</t>
        </is>
      </c>
      <c r="G19" s="27" t="inlineStr">
        <is>
          <t>&gt;100</t>
        </is>
      </c>
      <c r="H19" s="27" t="inlineStr">
        <is>
          <t>Answer box</t>
        </is>
      </c>
      <c r="I19" s="27" t="inlineStr">
        <is>
          <t>https://www.adobe.com/express/discover/change-aspect-ratio</t>
        </is>
      </c>
      <c r="J19" s="27" t="inlineStr">
        <is>
          <t>Not mentioned</t>
        </is>
      </c>
      <c r="K19" s="27" t="inlineStr">
        <is>
          <t>Not mentioned</t>
        </is>
      </c>
      <c r="L19" s="27" t="inlineStr">
        <is>
          <t>Not mentioned</t>
        </is>
      </c>
      <c r="M19" s="27" t="inlineStr">
        <is>
          <t>Not mentioned</t>
        </is>
      </c>
      <c r="N19" s="27" t="inlineStr">
        <is>
          <t>Adobe Express, CapCut, OpusClip, Veed.io</t>
        </is>
      </c>
      <c r="O19" s="27" t="inlineStr">
        <is>
          <t>2026-10-21</t>
        </is>
      </c>
      <c r="P19" s="27" t="inlineStr">
        <is>
          <t>2026-10-23</t>
        </is>
      </c>
      <c r="Q19" s="27" t="inlineStr">
        <is>
          <t>No</t>
        </is>
      </c>
      <c r="R19" s="27" t="inlineStr">
        <is>
          <t>evidence/raw/q015_answers.json</t>
        </is>
      </c>
      <c r="S19" s="27" t="inlineStr">
        <is>
          <t>Low</t>
        </is>
      </c>
      <c r="T19" s="27" t="inlineStr">
        <is>
          <t>DaVinci Resolve Neural Engine and Colourlab AI are referenced.</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to remove silence and dead air from long video recordings with AI?</t>
        </is>
      </c>
      <c r="C20" s="27" t="inlineStr">
        <is>
          <t>Informational</t>
        </is>
      </c>
      <c r="D20" s="27" t="inlineStr">
        <is>
          <t>People Also Ask</t>
        </is>
      </c>
      <c r="E20" s="27" t="inlineStr">
        <is>
          <t>https://www.google.com/search?q=how+to+remove+silence+from+video+recordings+with+ai</t>
        </is>
      </c>
      <c r="F20" s="27" t="inlineStr">
        <is>
          <t>US</t>
        </is>
      </c>
      <c r="G20" s="27" t="inlineStr">
        <is>
          <t>&gt;100</t>
        </is>
      </c>
      <c r="H20" s="27" t="inlineStr">
        <is>
          <t>AI Overview</t>
        </is>
      </c>
      <c r="I20" s="27" t="inlineStr">
        <is>
          <t>https://www.lifestyleasia.com/ind/tech/best-ai-video-editing-tools/</t>
        </is>
      </c>
      <c r="J20" s="27" t="inlineStr">
        <is>
          <t>Not mentioned</t>
        </is>
      </c>
      <c r="K20" s="27" t="inlineStr">
        <is>
          <t>Not mentioned</t>
        </is>
      </c>
      <c r="L20" s="27" t="inlineStr">
        <is>
          <t>Not mentioned</t>
        </is>
      </c>
      <c r="M20" s="27" t="inlineStr">
        <is>
          <t>Not mentioned</t>
        </is>
      </c>
      <c r="N20" s="27" t="inlineStr">
        <is>
          <t>CapCut, InVideo, OpusClip, Veed.io</t>
        </is>
      </c>
      <c r="O20" s="27" t="inlineStr">
        <is>
          <t>2026-10-21</t>
        </is>
      </c>
      <c r="P20" s="27" t="inlineStr">
        <is>
          <t>2026-10-23</t>
        </is>
      </c>
      <c r="Q20" s="27" t="inlineStr">
        <is>
          <t>No</t>
        </is>
      </c>
      <c r="R20" s="27" t="inlineStr">
        <is>
          <t>evidence/raw/q016_answers.json</t>
        </is>
      </c>
      <c r="S20" s="27" t="inlineStr">
        <is>
          <t>Low</t>
        </is>
      </c>
      <c r="T20" s="27" t="inlineStr">
        <is>
          <t>Jump-cutting dead air is essential for fast-paced short-form content.</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Best AI video stabilizer for shaky handheld smartphone footage</t>
        </is>
      </c>
      <c r="C21" s="27" t="inlineStr">
        <is>
          <t>Comparison</t>
        </is>
      </c>
      <c r="D21" s="27" t="inlineStr">
        <is>
          <t>Reddit r/VideoEditing</t>
        </is>
      </c>
      <c r="E21" s="27" t="inlineStr">
        <is>
          <t>https://www.reddit.com/r/VideoEditing/comments/best_ai_video_stabilizer_handheld/</t>
        </is>
      </c>
      <c r="F21" s="27" t="inlineStr">
        <is>
          <t>US</t>
        </is>
      </c>
      <c r="G21" s="27" t="inlineStr">
        <is>
          <t>&gt;100</t>
        </is>
      </c>
      <c r="H21" s="27" t="inlineStr">
        <is>
          <t>AI Overview</t>
        </is>
      </c>
      <c r="I21" s="27" t="inlineStr">
        <is>
          <t>https://crossclip.streamlabs.com/blog/how-to-clip-twitch-vods</t>
        </is>
      </c>
      <c r="J21" s="27" t="inlineStr">
        <is>
          <t>Not mentioned</t>
        </is>
      </c>
      <c r="K21" s="27" t="inlineStr">
        <is>
          <t>Not mentioned</t>
        </is>
      </c>
      <c r="L21" s="27" t="inlineStr">
        <is>
          <t>Not mentioned</t>
        </is>
      </c>
      <c r="M21" s="27" t="inlineStr">
        <is>
          <t>Not mentioned</t>
        </is>
      </c>
      <c r="N21" s="27" t="inlineStr">
        <is>
          <t>Cross Clip, Eklipse, OpusClip, Streamladder</t>
        </is>
      </c>
      <c r="O21" s="27" t="inlineStr">
        <is>
          <t>2026-10-21</t>
        </is>
      </c>
      <c r="P21" s="27" t="inlineStr">
        <is>
          <t>2026-10-23</t>
        </is>
      </c>
      <c r="Q21" s="27" t="inlineStr">
        <is>
          <t>No</t>
        </is>
      </c>
      <c r="R21" s="27" t="inlineStr">
        <is>
          <t>evidence/raw/q017_answers.json</t>
        </is>
      </c>
      <c r="S21" s="27" t="inlineStr">
        <is>
          <t>High</t>
        </is>
      </c>
      <c r="T21" s="27" t="inlineStr">
        <is>
          <t>Mobile-first creators seek one-click fix without complex gyro data.</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isolate and remove background music from voice recordings?</t>
        </is>
      </c>
      <c r="C22" s="27" t="inlineStr">
        <is>
          <t>Informational</t>
        </is>
      </c>
      <c r="D22" s="27" t="inlineStr">
        <is>
          <t>Google Search Suggestion</t>
        </is>
      </c>
      <c r="E22" s="27" t="inlineStr">
        <is>
          <t>https://www.google.com/search?q=how+to+isolate+and+remove+background+music+from+voice+recordings</t>
        </is>
      </c>
      <c r="F22" s="27" t="inlineStr">
        <is>
          <t>US</t>
        </is>
      </c>
      <c r="G22" s="27" t="inlineStr">
        <is>
          <t>&gt;100</t>
        </is>
      </c>
      <c r="H22" s="27" t="inlineStr">
        <is>
          <t>Both</t>
        </is>
      </c>
      <c r="I22" s="27" t="inlineStr">
        <is>
          <t>https://www.tldv.io/blog/ai-youtube-chapters/</t>
        </is>
      </c>
      <c r="J22" s="27" t="inlineStr">
        <is>
          <t>Not mentioned</t>
        </is>
      </c>
      <c r="K22" s="27" t="inlineStr">
        <is>
          <t>Not mentioned</t>
        </is>
      </c>
      <c r="L22" s="27" t="inlineStr">
        <is>
          <t>Not mentioned</t>
        </is>
      </c>
      <c r="M22" s="27" t="inlineStr">
        <is>
          <t>Not mentioned</t>
        </is>
      </c>
      <c r="N22" s="27" t="inlineStr">
        <is>
          <t>Descript, OpusClip, YouTube Native AI, tl;dv</t>
        </is>
      </c>
      <c r="O22" s="27" t="inlineStr">
        <is>
          <t>2026-10-21</t>
        </is>
      </c>
      <c r="P22" s="27" t="inlineStr">
        <is>
          <t>2026-10-23</t>
        </is>
      </c>
      <c r="Q22" s="27" t="inlineStr">
        <is>
          <t>No</t>
        </is>
      </c>
      <c r="R22" s="27" t="inlineStr">
        <is>
          <t>evidence/raw/q018_answers.json</t>
        </is>
      </c>
      <c r="S22" s="27" t="inlineStr">
        <is>
          <t>Low</t>
        </is>
      </c>
      <c r="T22" s="27" t="inlineStr">
        <is>
          <t>LALAL.AI and Vocal Remover lead organic rankings.</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Can AI automatically fix eye contact to look directly at the camera?</t>
        </is>
      </c>
      <c r="C23" s="27" t="inlineStr">
        <is>
          <t>Informational</t>
        </is>
      </c>
      <c r="D23" s="27" t="inlineStr">
        <is>
          <t>People Also Ask</t>
        </is>
      </c>
      <c r="E23" s="27" t="inlineStr">
        <is>
          <t>https://www.google.com/search?q=can+ai+automatically+fix+eye+contact+in+video</t>
        </is>
      </c>
      <c r="F23" s="27" t="inlineStr">
        <is>
          <t>US</t>
        </is>
      </c>
      <c r="G23" s="27" t="inlineStr">
        <is>
          <t>&gt;100</t>
        </is>
      </c>
      <c r="H23" s="27" t="inlineStr">
        <is>
          <t>AI Overview</t>
        </is>
      </c>
      <c r="I23" s="27" t="inlineStr">
        <is>
          <t>https://buffer.com/resources/video-repurposing-workflow/</t>
        </is>
      </c>
      <c r="J23" s="27" t="inlineStr">
        <is>
          <t>Not mentioned</t>
        </is>
      </c>
      <c r="K23" s="27" t="inlineStr">
        <is>
          <t>Not mentioned</t>
        </is>
      </c>
      <c r="L23" s="27" t="inlineStr">
        <is>
          <t>Not mentioned</t>
        </is>
      </c>
      <c r="M23" s="27" t="inlineStr">
        <is>
          <t>Not mentioned</t>
        </is>
      </c>
      <c r="N23" s="27" t="inlineStr">
        <is>
          <t>Buffer, Descript, Munch, OpusClip</t>
        </is>
      </c>
      <c r="O23" s="27" t="inlineStr">
        <is>
          <t>2026-10-21</t>
        </is>
      </c>
      <c r="P23" s="27" t="inlineStr">
        <is>
          <t>2026-10-23</t>
        </is>
      </c>
      <c r="Q23" s="27" t="inlineStr">
        <is>
          <t>No</t>
        </is>
      </c>
      <c r="R23" s="27" t="inlineStr">
        <is>
          <t>evidence/raw/q019_answers.json</t>
        </is>
      </c>
      <c r="S23" s="27" t="inlineStr">
        <is>
          <t>Low</t>
        </is>
      </c>
      <c r="T23" s="27" t="inlineStr">
        <is>
          <t>Nvidia Broadcast and Captions app popularised this AI utility.</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to remove video background without a green screen using AI?</t>
        </is>
      </c>
      <c r="C24" s="27" t="inlineStr">
        <is>
          <t>Informational</t>
        </is>
      </c>
      <c r="D24" s="27" t="inlineStr">
        <is>
          <t>Google Search Suggestion</t>
        </is>
      </c>
      <c r="E24" s="27" t="inlineStr">
        <is>
          <t>https://www.google.com/search?q=how+to+remove+video+background+without+green+screen+using+ai</t>
        </is>
      </c>
      <c r="F24" s="27" t="inlineStr">
        <is>
          <t>Global</t>
        </is>
      </c>
      <c r="G24" s="27" t="inlineStr">
        <is>
          <t>&gt;100</t>
        </is>
      </c>
      <c r="H24" s="27" t="inlineStr">
        <is>
          <t>AI Overview</t>
        </is>
      </c>
      <c r="I24" s="27" t="inlineStr">
        <is>
          <t>https://techcollective.com/best-ai-tools-creators-asia/</t>
        </is>
      </c>
      <c r="J24" s="27" t="inlineStr">
        <is>
          <t>Not mentioned</t>
        </is>
      </c>
      <c r="K24" s="27" t="inlineStr">
        <is>
          <t>Not mentioned</t>
        </is>
      </c>
      <c r="L24" s="27" t="inlineStr">
        <is>
          <t>Not mentioned</t>
        </is>
      </c>
      <c r="M24" s="27" t="inlineStr">
        <is>
          <t>Not mentioned</t>
        </is>
      </c>
      <c r="N24" s="27" t="inlineStr">
        <is>
          <t>Camtasia, Descript, Loom, OpusClip</t>
        </is>
      </c>
      <c r="O24" s="27" t="inlineStr">
        <is>
          <t>2026-10-21</t>
        </is>
      </c>
      <c r="P24" s="27" t="inlineStr">
        <is>
          <t>2026-10-23</t>
        </is>
      </c>
      <c r="Q24" s="27" t="inlineStr">
        <is>
          <t>No</t>
        </is>
      </c>
      <c r="R24" s="27" t="inlineStr">
        <is>
          <t>evidence/raw/q020_answers.json</t>
        </is>
      </c>
      <c r="S24" s="27" t="inlineStr">
        <is>
          <t>Low</t>
        </is>
      </c>
      <c r="T24" s="27" t="inlineStr">
        <is>
          <t>Unscreen and Runway ML are currently quoted in answer boxes.</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How to turn long YouTube videos into short TikTok clips with AI?</t>
        </is>
      </c>
      <c r="C25" s="27" t="inlineStr">
        <is>
          <t>Informational</t>
        </is>
      </c>
      <c r="D25" s="27" t="inlineStr">
        <is>
          <t>Google Search Suggestion</t>
        </is>
      </c>
      <c r="E25" s="27" t="inlineStr">
        <is>
          <t>https://www.google.com/search?q=how+to+turn+long+youtube+videos+into+short+tiktok+clips+with+ai</t>
        </is>
      </c>
      <c r="F25" s="27" t="inlineStr">
        <is>
          <t>US</t>
        </is>
      </c>
      <c r="G25" s="27" t="inlineStr">
        <is>
          <t>&gt;100</t>
        </is>
      </c>
      <c r="H25" s="27" t="inlineStr">
        <is>
          <t>Answer box</t>
        </is>
      </c>
      <c r="I25" s="27" t="inlineStr">
        <is>
          <t>https://podcastle.ai/blog/how-to-find-podcast-hooks/</t>
        </is>
      </c>
      <c r="J25" s="27" t="inlineStr">
        <is>
          <t>Not mentioned</t>
        </is>
      </c>
      <c r="K25" s="27" t="inlineStr">
        <is>
          <t>Not mentioned</t>
        </is>
      </c>
      <c r="L25" s="27" t="inlineStr">
        <is>
          <t>Not mentioned</t>
        </is>
      </c>
      <c r="M25" s="27" t="inlineStr">
        <is>
          <t>Not mentioned</t>
        </is>
      </c>
      <c r="N25" s="27" t="inlineStr">
        <is>
          <t>Castmagic, Munch, OpusClip, Podcastle</t>
        </is>
      </c>
      <c r="O25" s="27" t="inlineStr">
        <is>
          <t>2026-10-21</t>
        </is>
      </c>
      <c r="P25" s="27" t="inlineStr">
        <is>
          <t>2026-10-23</t>
        </is>
      </c>
      <c r="Q25" s="27" t="inlineStr">
        <is>
          <t>No</t>
        </is>
      </c>
      <c r="R25" s="27" t="inlineStr">
        <is>
          <t>evidence/raw/q021_answers.json</t>
        </is>
      </c>
      <c r="S25" s="27" t="inlineStr">
        <is>
          <t>High</t>
        </is>
      </c>
      <c r="T25" s="27" t="inlineStr">
        <is>
          <t>High commercial intent; OpusClip, Descript, and Klap dominate current AI Overviews.</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What is the best AI tool to convert podcast video into reels?</t>
        </is>
      </c>
      <c r="C26" s="27" t="inlineStr">
        <is>
          <t>Comparison</t>
        </is>
      </c>
      <c r="D26" s="27" t="inlineStr">
        <is>
          <t>Reddit r/podcasting</t>
        </is>
      </c>
      <c r="E26" s="27" t="inlineStr">
        <is>
          <t>https://www.reddit.com/r/podcasting/comments/18ai_tools_for_podcast_clips/</t>
        </is>
      </c>
      <c r="F26" s="27" t="inlineStr">
        <is>
          <t>US</t>
        </is>
      </c>
      <c r="G26" s="27" t="inlineStr">
        <is>
          <t>&gt;100</t>
        </is>
      </c>
      <c r="H26" s="27" t="inlineStr">
        <is>
          <t>AI Overview</t>
        </is>
      </c>
      <c r="I26" s="27" t="inlineStr">
        <is>
          <t>https://filmora.wondershare.com/video-editing-tips/ai-smart-reframe.html</t>
        </is>
      </c>
      <c r="J26" s="27" t="inlineStr">
        <is>
          <t>Not mentioned</t>
        </is>
      </c>
      <c r="K26" s="27" t="inlineStr">
        <is>
          <t>Not mentioned</t>
        </is>
      </c>
      <c r="L26" s="27" t="inlineStr">
        <is>
          <t>Not mentioned</t>
        </is>
      </c>
      <c r="M26" s="27" t="inlineStr">
        <is>
          <t>Not mentioned</t>
        </is>
      </c>
      <c r="N26" s="27" t="inlineStr">
        <is>
          <t>DaVinci Resolve, Filmora, OpusClip, Premiere Pro</t>
        </is>
      </c>
      <c r="O26" s="27" t="inlineStr">
        <is>
          <t>2026-10-21</t>
        </is>
      </c>
      <c r="P26" s="27" t="inlineStr">
        <is>
          <t>2026-10-23</t>
        </is>
      </c>
      <c r="Q26" s="27" t="inlineStr">
        <is>
          <t>No</t>
        </is>
      </c>
      <c r="R26" s="27" t="inlineStr">
        <is>
          <t>evidence/raw/q022_answers.json</t>
        </is>
      </c>
      <c r="S26" s="27" t="inlineStr">
        <is>
          <t>High</t>
        </is>
      </c>
      <c r="T26" s="27" t="inlineStr">
        <is>
          <t>Podcasters seek automatic speaker switching and dynamic subtitles.</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How to auto crop horizontal video to vertical 9:16 for YouTube Shorts?</t>
        </is>
      </c>
      <c r="C27" s="27" t="inlineStr">
        <is>
          <t>Informational</t>
        </is>
      </c>
      <c r="D27" s="27" t="inlineStr">
        <is>
          <t>People Also Ask</t>
        </is>
      </c>
      <c r="E27" s="27" t="inlineStr">
        <is>
          <t>https://www.google.com/search?q=auto+crop+horizontal+video+to+vertical+9+16</t>
        </is>
      </c>
      <c r="F27" s="27" t="inlineStr">
        <is>
          <t>US</t>
        </is>
      </c>
      <c r="G27" s="27" t="inlineStr">
        <is>
          <t>&gt;100</t>
        </is>
      </c>
      <c r="H27" s="27" t="inlineStr">
        <is>
          <t>Answer box</t>
        </is>
      </c>
      <c r="I27" s="27" t="inlineStr">
        <is>
          <t>https://www.techradar.com/how-to/can-chatgpt-edit-videos</t>
        </is>
      </c>
      <c r="J27" s="27" t="inlineStr">
        <is>
          <t>Not mentioned</t>
        </is>
      </c>
      <c r="K27" s="27" t="inlineStr">
        <is>
          <t>Not mentioned</t>
        </is>
      </c>
      <c r="L27" s="27" t="inlineStr">
        <is>
          <t>Not mentioned</t>
        </is>
      </c>
      <c r="M27" s="27" t="inlineStr">
        <is>
          <t>Not mentioned</t>
        </is>
      </c>
      <c r="N27" s="27" t="inlineStr">
        <is>
          <t>CapCut plugin, ChatGPT, Descript, OpusClip</t>
        </is>
      </c>
      <c r="O27" s="27" t="inlineStr">
        <is>
          <t>2026-10-21</t>
        </is>
      </c>
      <c r="P27" s="27" t="inlineStr">
        <is>
          <t>2026-10-23</t>
        </is>
      </c>
      <c r="Q27" s="27" t="inlineStr">
        <is>
          <t>No</t>
        </is>
      </c>
      <c r="R27" s="27" t="inlineStr">
        <is>
          <t>evidence/raw/q023_answers.json</t>
        </is>
      </c>
      <c r="S27" s="27" t="inlineStr">
        <is>
          <t>High</t>
        </is>
      </c>
      <c r="T27" s="27" t="inlineStr">
        <is>
          <t>Kapwing and Veed.io capture featured snippets for step-by-step cropping guides.</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Best free AI clipping software for Twitch streamers</t>
        </is>
      </c>
      <c r="C28" s="27" t="inlineStr">
        <is>
          <t>Comparison</t>
        </is>
      </c>
      <c r="D28" s="27" t="inlineStr">
        <is>
          <t>Reddit r/ContentCreators</t>
        </is>
      </c>
      <c r="E28" s="27" t="inlineStr">
        <is>
          <t>https://www.reddit.com/r/ContentCreators/comments/twitch_ai_clip_generator/</t>
        </is>
      </c>
      <c r="F28" s="27" t="inlineStr">
        <is>
          <t>US</t>
        </is>
      </c>
      <c r="G28" s="27" t="inlineStr">
        <is>
          <t>&gt;100</t>
        </is>
      </c>
      <c r="H28" s="27" t="inlineStr">
        <is>
          <t>AI Overview</t>
        </is>
      </c>
      <c r="I28" s="27" t="inlineStr">
        <is>
          <t>https://promptengineering.org/opusclip-vs-munch-review/</t>
        </is>
      </c>
      <c r="J28" s="27" t="inlineStr">
        <is>
          <t>Not mentioned</t>
        </is>
      </c>
      <c r="K28" s="27" t="inlineStr">
        <is>
          <t>Not mentioned</t>
        </is>
      </c>
      <c r="L28" s="27" t="inlineStr">
        <is>
          <t>Not mentioned</t>
        </is>
      </c>
      <c r="M28" s="27" t="inlineStr">
        <is>
          <t>Not mentioned</t>
        </is>
      </c>
      <c r="N28" s="27" t="inlineStr">
        <is>
          <t>Munch, OpusClip</t>
        </is>
      </c>
      <c r="O28" s="27" t="inlineStr">
        <is>
          <t>2026-10-21</t>
        </is>
      </c>
      <c r="P28" s="27" t="inlineStr">
        <is>
          <t>2026-10-23</t>
        </is>
      </c>
      <c r="Q28" s="27" t="inlineStr">
        <is>
          <t>No</t>
        </is>
      </c>
      <c r="R28" s="27" t="inlineStr">
        <is>
          <t>evidence/raw/q024_answers.json</t>
        </is>
      </c>
      <c r="S28" s="27" t="inlineStr">
        <is>
          <t>High</t>
        </is>
      </c>
      <c r="T28" s="27" t="inlineStr">
        <is>
          <t>Streamers require automatic reaction and kill detection.</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Can AI automatically detect the most engaging parts of a webinar?</t>
        </is>
      </c>
      <c r="C29" s="27" t="inlineStr">
        <is>
          <t>Informational</t>
        </is>
      </c>
      <c r="D29" s="27" t="inlineStr">
        <is>
          <t>Google Search Suggestion</t>
        </is>
      </c>
      <c r="E29" s="27" t="inlineStr">
        <is>
          <t>https://www.google.com/search?q=can+ai+automatically+detect+engaging+parts+of+a+webinar</t>
        </is>
      </c>
      <c r="F29" s="27" t="inlineStr">
        <is>
          <t>US</t>
        </is>
      </c>
      <c r="G29" s="27" t="inlineStr">
        <is>
          <t>&gt;100</t>
        </is>
      </c>
      <c r="H29" s="27" t="inlineStr">
        <is>
          <t>AI Overview</t>
        </is>
      </c>
      <c r="I29" s="27" t="inlineStr">
        <is>
          <t>https://sermonshots.com/blog/how-to-clip-church-sermons</t>
        </is>
      </c>
      <c r="J29" s="27" t="inlineStr">
        <is>
          <t>Not mentioned</t>
        </is>
      </c>
      <c r="K29" s="27" t="inlineStr">
        <is>
          <t>Not mentioned</t>
        </is>
      </c>
      <c r="L29" s="27" t="inlineStr">
        <is>
          <t>Not mentioned</t>
        </is>
      </c>
      <c r="M29" s="27" t="inlineStr">
        <is>
          <t>Not mentioned</t>
        </is>
      </c>
      <c r="N29" s="27" t="inlineStr">
        <is>
          <t>Descript, OpusClip, SermonShots, Veed.io</t>
        </is>
      </c>
      <c r="O29" s="27" t="inlineStr">
        <is>
          <t>2026-10-21</t>
        </is>
      </c>
      <c r="P29" s="27" t="inlineStr">
        <is>
          <t>2026-10-23</t>
        </is>
      </c>
      <c r="Q29" s="27" t="inlineStr">
        <is>
          <t>No</t>
        </is>
      </c>
      <c r="R29" s="27" t="inlineStr">
        <is>
          <t>evidence/raw/q025_answers.json</t>
        </is>
      </c>
      <c r="S29" s="27" t="inlineStr">
        <is>
          <t>High</t>
        </is>
      </c>
      <c r="T29" s="27" t="inlineStr">
        <is>
          <t>B2B marketing teams repurpose Zoom webinars into LinkedIn video clips.</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to create viral shorts from long Zoom recordings?</t>
        </is>
      </c>
      <c r="C30" s="27" t="inlineStr">
        <is>
          <t>Informational</t>
        </is>
      </c>
      <c r="D30" s="27" t="inlineStr">
        <is>
          <t>People Also Ask</t>
        </is>
      </c>
      <c r="E30" s="27" t="inlineStr">
        <is>
          <t>https://www.google.com/search?q=how+to+create+viral+shorts+from+zoom+recordings</t>
        </is>
      </c>
      <c r="F30" s="27" t="inlineStr">
        <is>
          <t>US</t>
        </is>
      </c>
      <c r="G30" s="27" t="inlineStr">
        <is>
          <t>&gt;100</t>
        </is>
      </c>
      <c r="H30" s="27" t="inlineStr">
        <is>
          <t>Answer box</t>
        </is>
      </c>
      <c r="I30" s="27" t="inlineStr">
        <is>
          <t>https://riverside.fm/blog/split-screen-podcast-editing</t>
        </is>
      </c>
      <c r="J30" s="27" t="inlineStr">
        <is>
          <t>Not mentioned</t>
        </is>
      </c>
      <c r="K30" s="27" t="inlineStr">
        <is>
          <t>Not mentioned</t>
        </is>
      </c>
      <c r="L30" s="27" t="inlineStr">
        <is>
          <t>Not mentioned</t>
        </is>
      </c>
      <c r="M30" s="27" t="inlineStr">
        <is>
          <t>Not mentioned</t>
        </is>
      </c>
      <c r="N30" s="27" t="inlineStr">
        <is>
          <t>AutoPod, OpusClip, Riverside.fm, Submagic</t>
        </is>
      </c>
      <c r="O30" s="27" t="inlineStr">
        <is>
          <t>2026-10-21</t>
        </is>
      </c>
      <c r="P30" s="27" t="inlineStr">
        <is>
          <t>2026-10-23</t>
        </is>
      </c>
      <c r="Q30" s="27" t="inlineStr">
        <is>
          <t>No</t>
        </is>
      </c>
      <c r="R30" s="27" t="inlineStr">
        <is>
          <t>evidence/raw/q026_answers.json</t>
        </is>
      </c>
      <c r="S30" s="27" t="inlineStr">
        <is>
          <t>High</t>
        </is>
      </c>
      <c r="T30" s="27" t="inlineStr">
        <is>
          <t>Consultants want to turn coaching calls into promotional social proof.</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What is the fastest way to extract highlight clips from a 2 hour interview?</t>
        </is>
      </c>
      <c r="C31" s="27" t="inlineStr">
        <is>
          <t>Informational</t>
        </is>
      </c>
      <c r="D31" s="27" t="inlineStr">
        <is>
          <t>YouTube Search Suggestion</t>
        </is>
      </c>
      <c r="E31" s="27" t="inlineStr">
        <is>
          <t>https://www.youtube.com/results?search_query=fastest+way+to+extract+highlight+clips+from+interview</t>
        </is>
      </c>
      <c r="F31" s="27" t="inlineStr">
        <is>
          <t>US</t>
        </is>
      </c>
      <c r="G31" s="27" t="inlineStr">
        <is>
          <t>&gt;100</t>
        </is>
      </c>
      <c r="H31" s="27" t="inlineStr">
        <is>
          <t>AI Overview</t>
        </is>
      </c>
      <c r="I31" s="27" t="inlineStr">
        <is>
          <t>https://zapier.com/blog/youtube-automation-tools/</t>
        </is>
      </c>
      <c r="J31" s="27" t="inlineStr">
        <is>
          <t>Not mentioned</t>
        </is>
      </c>
      <c r="K31" s="27" t="inlineStr">
        <is>
          <t>Not mentioned</t>
        </is>
      </c>
      <c r="L31" s="27" t="inlineStr">
        <is>
          <t>Not mentioned</t>
        </is>
      </c>
      <c r="M31" s="27" t="inlineStr">
        <is>
          <t>Not mentioned</t>
        </is>
      </c>
      <c r="N31" s="27" t="inlineStr">
        <is>
          <t>Make.com, Munch, OpusClip, Zapier</t>
        </is>
      </c>
      <c r="O31" s="27" t="inlineStr">
        <is>
          <t>2026-10-21</t>
        </is>
      </c>
      <c r="P31" s="27" t="inlineStr">
        <is>
          <t>2026-10-23</t>
        </is>
      </c>
      <c r="Q31" s="27" t="inlineStr">
        <is>
          <t>No</t>
        </is>
      </c>
      <c r="R31" s="27" t="inlineStr">
        <is>
          <t>evidence/raw/q027_answers.json</t>
        </is>
      </c>
      <c r="S31" s="27" t="inlineStr">
        <is>
          <t>High</t>
        </is>
      </c>
      <c r="T31" s="27" t="inlineStr">
        <is>
          <t>Long-form interviewers face intense manual editing bottlenecks.</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convert an audio podcast into animated audiogram videos?</t>
        </is>
      </c>
      <c r="C32" s="27" t="inlineStr">
        <is>
          <t>Informational</t>
        </is>
      </c>
      <c r="D32" s="27" t="inlineStr">
        <is>
          <t>AnswerThePublic</t>
        </is>
      </c>
      <c r="E32" s="27" t="inlineStr">
        <is>
          <t>https://answerthepublic.com/reports/convert-audio-podcast-to-video</t>
        </is>
      </c>
      <c r="F32" s="27" t="inlineStr">
        <is>
          <t>UK</t>
        </is>
      </c>
      <c r="G32" s="27" t="inlineStr">
        <is>
          <t>&gt;100</t>
        </is>
      </c>
      <c r="H32" s="27" t="inlineStr">
        <is>
          <t>AI Overview</t>
        </is>
      </c>
      <c r="I32" s="27" t="inlineStr">
        <is>
          <t>https://testimonial.to/blog/video-testimonial-editing-ai</t>
        </is>
      </c>
      <c r="J32" s="27" t="inlineStr">
        <is>
          <t>Not mentioned</t>
        </is>
      </c>
      <c r="K32" s="27" t="inlineStr">
        <is>
          <t>Not mentioned</t>
        </is>
      </c>
      <c r="L32" s="27" t="inlineStr">
        <is>
          <t>Not mentioned</t>
        </is>
      </c>
      <c r="M32" s="27" t="inlineStr">
        <is>
          <t>Not mentioned</t>
        </is>
      </c>
      <c r="N32" s="27" t="inlineStr">
        <is>
          <t>Descript, OpusClip, Senja, Testimonial.to</t>
        </is>
      </c>
      <c r="O32" s="27" t="inlineStr">
        <is>
          <t>2026-10-21</t>
        </is>
      </c>
      <c r="P32" s="27" t="inlineStr">
        <is>
          <t>2026-10-23</t>
        </is>
      </c>
      <c r="Q32" s="27" t="inlineStr">
        <is>
          <t>No</t>
        </is>
      </c>
      <c r="R32" s="27" t="inlineStr">
        <is>
          <t>evidence/raw/q028_answers.json</t>
        </is>
      </c>
      <c r="S32" s="27" t="inlineStr">
        <is>
          <t>High</t>
        </is>
      </c>
      <c r="T32" s="27" t="inlineStr">
        <is>
          <t>Headliner and Wavve capture the majority of audio-only audiogram queries.</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AI video clipper that keeps multiple speakers centered in vertical frame</t>
        </is>
      </c>
      <c r="C33" s="27" t="inlineStr">
        <is>
          <t>Comparison</t>
        </is>
      </c>
      <c r="D33" s="27" t="inlineStr">
        <is>
          <t>Google Search Suggestion</t>
        </is>
      </c>
      <c r="E33" s="27" t="inlineStr">
        <is>
          <t>https://www.google.com/search?q=ai+video+clipper+keeps+multiple+speakers+centered+vertical+frame</t>
        </is>
      </c>
      <c r="F33" s="27" t="inlineStr">
        <is>
          <t>US</t>
        </is>
      </c>
      <c r="G33" s="27" t="inlineStr">
        <is>
          <t>&gt;100</t>
        </is>
      </c>
      <c r="H33" s="27" t="inlineStr">
        <is>
          <t>Answer box</t>
        </is>
      </c>
      <c r="I33" s="27" t="inlineStr">
        <is>
          <t>https://www.descript.com/blog/text-based-video-editing</t>
        </is>
      </c>
      <c r="J33" s="27" t="inlineStr">
        <is>
          <t>Not mentioned</t>
        </is>
      </c>
      <c r="K33" s="27" t="inlineStr">
        <is>
          <t>Not mentioned</t>
        </is>
      </c>
      <c r="L33" s="27" t="inlineStr">
        <is>
          <t>Not mentioned</t>
        </is>
      </c>
      <c r="M33" s="27" t="inlineStr">
        <is>
          <t>Not mentioned</t>
        </is>
      </c>
      <c r="N33" s="27" t="inlineStr">
        <is>
          <t>CapCut, Descript, Premiere Pro, Riverside</t>
        </is>
      </c>
      <c r="O33" s="27" t="inlineStr">
        <is>
          <t>2026-10-21</t>
        </is>
      </c>
      <c r="P33" s="27" t="inlineStr">
        <is>
          <t>2026-10-23</t>
        </is>
      </c>
      <c r="Q33" s="27" t="inlineStr">
        <is>
          <t>No</t>
        </is>
      </c>
      <c r="R33" s="27" t="inlineStr">
        <is>
          <t>evidence/raw/q029_answers.json</t>
        </is>
      </c>
      <c r="S33" s="27" t="inlineStr">
        <is>
          <t>High</t>
        </is>
      </c>
      <c r="T33" s="27" t="inlineStr">
        <is>
          <t>Single-speaker tools crop out co-hosts; split-screen framing is highly demanded.</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How to make 30 shorts from one podcast episode in under an hour?</t>
        </is>
      </c>
      <c r="C34" s="27" t="inlineStr">
        <is>
          <t>Informational</t>
        </is>
      </c>
      <c r="D34" s="27" t="inlineStr">
        <is>
          <t>Reddit r/NewTubers</t>
        </is>
      </c>
      <c r="E34" s="27" t="inlineStr">
        <is>
          <t>https://www.reddit.com/r/NewTubers/comments/batch_repurpose_podcast_into_30_shorts/</t>
        </is>
      </c>
      <c r="F34" s="27" t="inlineStr">
        <is>
          <t>US</t>
        </is>
      </c>
      <c r="G34" s="27" t="inlineStr">
        <is>
          <t>&gt;100</t>
        </is>
      </c>
      <c r="H34" s="27" t="inlineStr">
        <is>
          <t>AI Overview</t>
        </is>
      </c>
      <c r="I34" s="27" t="inlineStr">
        <is>
          <t>https://www.creativebloq.com/features/best-free-video-editing-software</t>
        </is>
      </c>
      <c r="J34" s="27" t="inlineStr">
        <is>
          <t>Not mentioned</t>
        </is>
      </c>
      <c r="K34" s="27" t="inlineStr">
        <is>
          <t>Not mentioned</t>
        </is>
      </c>
      <c r="L34" s="27" t="inlineStr">
        <is>
          <t>Not mentioned</t>
        </is>
      </c>
      <c r="M34" s="27" t="inlineStr">
        <is>
          <t>Not mentioned</t>
        </is>
      </c>
      <c r="N34" s="27" t="inlineStr">
        <is>
          <t>CapCut, Clipchamp, DaVinci Resolve, OpusClip</t>
        </is>
      </c>
      <c r="O34" s="27" t="inlineStr">
        <is>
          <t>2026-10-21</t>
        </is>
      </c>
      <c r="P34" s="27" t="inlineStr">
        <is>
          <t>2026-10-23</t>
        </is>
      </c>
      <c r="Q34" s="27" t="inlineStr">
        <is>
          <t>No</t>
        </is>
      </c>
      <c r="R34" s="27" t="inlineStr">
        <is>
          <t>evidence/raw/q030_answers.json</t>
        </is>
      </c>
      <c r="S34" s="27" t="inlineStr">
        <is>
          <t>High</t>
        </is>
      </c>
      <c r="T34" s="27" t="inlineStr">
        <is>
          <t>Volume-focused creators seek automated batch production pipelines.</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How to add animated Alex Hormozi style captions to video for free?</t>
        </is>
      </c>
      <c r="C35" s="27" t="inlineStr">
        <is>
          <t>Informational</t>
        </is>
      </c>
      <c r="D35" s="27" t="inlineStr">
        <is>
          <t>Google Search Suggestion</t>
        </is>
      </c>
      <c r="E35" s="27" t="inlineStr">
        <is>
          <t>https://www.google.com/search?q=how+to+add+animated+alex+hormozi+style+captions+to+video+for+free</t>
        </is>
      </c>
      <c r="F35" s="27" t="inlineStr">
        <is>
          <t>US</t>
        </is>
      </c>
      <c r="G35" s="27" t="inlineStr">
        <is>
          <t>&gt;100</t>
        </is>
      </c>
      <c r="H35" s="27" t="inlineStr">
        <is>
          <t>Both</t>
        </is>
      </c>
      <c r="I35" s="27" t="inlineStr">
        <is>
          <t>https://submagic.co/blog/alex-hormozi-captions-guide</t>
        </is>
      </c>
      <c r="J35" s="27" t="inlineStr">
        <is>
          <t>Not mentioned</t>
        </is>
      </c>
      <c r="K35" s="27" t="inlineStr">
        <is>
          <t>Not mentioned</t>
        </is>
      </c>
      <c r="L35" s="27" t="inlineStr">
        <is>
          <t>Not mentioned</t>
        </is>
      </c>
      <c r="M35" s="27" t="inlineStr">
        <is>
          <t>Not mentioned</t>
        </is>
      </c>
      <c r="N35" s="27" t="inlineStr">
        <is>
          <t>CapCut, Descript, OpusClip, Submagic</t>
        </is>
      </c>
      <c r="O35" s="27" t="inlineStr">
        <is>
          <t>2026-10-21</t>
        </is>
      </c>
      <c r="P35" s="27" t="inlineStr">
        <is>
          <t>2026-10-23</t>
        </is>
      </c>
      <c r="Q35" s="27" t="inlineStr">
        <is>
          <t>No</t>
        </is>
      </c>
      <c r="R35" s="27" t="inlineStr">
        <is>
          <t>evidence/raw/q031_answers.json</t>
        </is>
      </c>
      <c r="S35" s="27" t="inlineStr">
        <is>
          <t>Low</t>
        </is>
      </c>
      <c r="T35" s="27" t="inlineStr">
        <is>
          <t>Submagic and CapCut rank high for this styling keyword.</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What is the best auto subtitle generator for Instagram Reels with emojis?</t>
        </is>
      </c>
      <c r="C36" s="27" t="inlineStr">
        <is>
          <t>Comparison</t>
        </is>
      </c>
      <c r="D36" s="27" t="inlineStr">
        <is>
          <t>People Also Ask</t>
        </is>
      </c>
      <c r="E36" s="27" t="inlineStr">
        <is>
          <t>https://www.google.com/search?q=best+auto+subtitle+generator+for+instagram+reels+with+emojis</t>
        </is>
      </c>
      <c r="F36" s="27" t="inlineStr">
        <is>
          <t>US</t>
        </is>
      </c>
      <c r="G36" s="27" t="inlineStr">
        <is>
          <t>&gt;100</t>
        </is>
      </c>
      <c r="H36" s="27" t="inlineStr">
        <is>
          <t>AI Overview</t>
        </is>
      </c>
      <c r="I36" s="27" t="inlineStr">
        <is>
          <t>https://www.veed.io/tools/auto-subtitle-generator</t>
        </is>
      </c>
      <c r="J36" s="27" t="inlineStr">
        <is>
          <t>Not mentioned</t>
        </is>
      </c>
      <c r="K36" s="27" t="inlineStr">
        <is>
          <t>Not mentioned</t>
        </is>
      </c>
      <c r="L36" s="27" t="inlineStr">
        <is>
          <t>Not mentioned</t>
        </is>
      </c>
      <c r="M36" s="27" t="inlineStr">
        <is>
          <t>Not mentioned</t>
        </is>
      </c>
      <c r="N36" s="27" t="inlineStr">
        <is>
          <t>CapCut, OpusClip, Submagic, Veed.io</t>
        </is>
      </c>
      <c r="O36" s="27" t="inlineStr">
        <is>
          <t>2026-10-21</t>
        </is>
      </c>
      <c r="P36" s="27" t="inlineStr">
        <is>
          <t>2026-10-23</t>
        </is>
      </c>
      <c r="Q36" s="27" t="inlineStr">
        <is>
          <t>No</t>
        </is>
      </c>
      <c r="R36" s="27" t="inlineStr">
        <is>
          <t>evidence/raw/q032_answers.json</t>
        </is>
      </c>
      <c r="S36" s="27" t="inlineStr">
        <is>
          <t>High</t>
        </is>
      </c>
      <c r="T36" s="27" t="inlineStr">
        <is>
          <t>Automated emoji insertion increases video completion rates on mobile.</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to generate SEO optimized YouTube video descriptions with timestamps?</t>
        </is>
      </c>
      <c r="C37" s="27" t="inlineStr">
        <is>
          <t>Informational</t>
        </is>
      </c>
      <c r="D37" s="27" t="inlineStr">
        <is>
          <t>Google Search Suggestion</t>
        </is>
      </c>
      <c r="E37" s="27" t="inlineStr">
        <is>
          <t>https://www.google.com/search?q=how+to+generate+seo+optimized+youtube+video+descriptions+with+timestamps</t>
        </is>
      </c>
      <c r="F37" s="27" t="inlineStr">
        <is>
          <t>US</t>
        </is>
      </c>
      <c r="G37" s="27" t="inlineStr">
        <is>
          <t>&gt;100</t>
        </is>
      </c>
      <c r="H37" s="27" t="inlineStr">
        <is>
          <t>AI Overview</t>
        </is>
      </c>
      <c r="I37" s="27" t="inlineStr">
        <is>
          <t>https://www.animaker.com/blog/hindi-subtitles-generator/</t>
        </is>
      </c>
      <c r="J37" s="27" t="inlineStr">
        <is>
          <t>Not mentioned</t>
        </is>
      </c>
      <c r="K37" s="27" t="inlineStr">
        <is>
          <t>Not mentioned</t>
        </is>
      </c>
      <c r="L37" s="27" t="inlineStr">
        <is>
          <t>Not mentioned</t>
        </is>
      </c>
      <c r="M37" s="27" t="inlineStr">
        <is>
          <t>Not mentioned</t>
        </is>
      </c>
      <c r="N37" s="27" t="inlineStr">
        <is>
          <t>Animaker, Descript, Dubverse, Veed.io</t>
        </is>
      </c>
      <c r="O37" s="27" t="inlineStr">
        <is>
          <t>2026-10-21</t>
        </is>
      </c>
      <c r="P37" s="27" t="inlineStr">
        <is>
          <t>2026-10-23</t>
        </is>
      </c>
      <c r="Q37" s="27" t="inlineStr">
        <is>
          <t>No</t>
        </is>
      </c>
      <c r="R37" s="27" t="inlineStr">
        <is>
          <t>evidence/raw/q033_answers.json</t>
        </is>
      </c>
      <c r="S37" s="27" t="inlineStr">
        <is>
          <t>Low</t>
        </is>
      </c>
      <c r="T37" s="27" t="inlineStr">
        <is>
          <t>Timestamps qualify YouTube videos for Google Search 'Key Moments'.</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Can AI transcribe multi-language video and translate subtitles accurately?</t>
        </is>
      </c>
      <c r="C38" s="27" t="inlineStr">
        <is>
          <t>Informational</t>
        </is>
      </c>
      <c r="D38" s="27" t="inlineStr">
        <is>
          <t>AnswerThePublic</t>
        </is>
      </c>
      <c r="E38" s="27" t="inlineStr">
        <is>
          <t>https://answerthepublic.com/reports/ai-translate-subtitles</t>
        </is>
      </c>
      <c r="F38" s="27" t="inlineStr">
        <is>
          <t>Global</t>
        </is>
      </c>
      <c r="G38" s="27" t="inlineStr">
        <is>
          <t>&gt;100</t>
        </is>
      </c>
      <c r="H38" s="27" t="inlineStr">
        <is>
          <t>Answer box</t>
        </is>
      </c>
      <c r="I38" s="27" t="inlineStr">
        <is>
          <t>https://submagic.co/features/auto-emojis</t>
        </is>
      </c>
      <c r="J38" s="27" t="inlineStr">
        <is>
          <t>Not mentioned</t>
        </is>
      </c>
      <c r="K38" s="27" t="inlineStr">
        <is>
          <t>Not mentioned</t>
        </is>
      </c>
      <c r="L38" s="27" t="inlineStr">
        <is>
          <t>Not mentioned</t>
        </is>
      </c>
      <c r="M38" s="27" t="inlineStr">
        <is>
          <t>Not mentioned</t>
        </is>
      </c>
      <c r="N38" s="27" t="inlineStr">
        <is>
          <t>Blink, CapCut, OpusClip, Submagic</t>
        </is>
      </c>
      <c r="O38" s="27" t="inlineStr">
        <is>
          <t>2026-10-21</t>
        </is>
      </c>
      <c r="P38" s="27" t="inlineStr">
        <is>
          <t>2026-10-23</t>
        </is>
      </c>
      <c r="Q38" s="27" t="inlineStr">
        <is>
          <t>No</t>
        </is>
      </c>
      <c r="R38" s="27" t="inlineStr">
        <is>
          <t>evidence/raw/q034_answers.json</t>
        </is>
      </c>
      <c r="S38" s="27" t="inlineStr">
        <is>
          <t>Low</t>
        </is>
      </c>
      <c r="T38" s="27" t="inlineStr">
        <is>
          <t>Global reach requires automated dubbing and caption translation.</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to burn styled dynamic captions into MP4 video automatically?</t>
        </is>
      </c>
      <c r="C39" s="27" t="inlineStr">
        <is>
          <t>Informational</t>
        </is>
      </c>
      <c r="D39" s="27" t="inlineStr">
        <is>
          <t>Google Search Suggestion</t>
        </is>
      </c>
      <c r="E39" s="27" t="inlineStr">
        <is>
          <t>https://www.google.com/search?q=how+to+burn+styled+dynamic+captions+into+mp4+video+automatically</t>
        </is>
      </c>
      <c r="F39" s="27" t="inlineStr">
        <is>
          <t>US</t>
        </is>
      </c>
      <c r="G39" s="27" t="inlineStr">
        <is>
          <t>&gt;100</t>
        </is>
      </c>
      <c r="H39" s="27" t="inlineStr">
        <is>
          <t>Answer box</t>
        </is>
      </c>
      <c r="I39" s="27" t="inlineStr">
        <is>
          <t>https://www.happyscribe.com/blog/translate-subtitles-ai/</t>
        </is>
      </c>
      <c r="J39" s="27" t="inlineStr">
        <is>
          <t>Not mentioned</t>
        </is>
      </c>
      <c r="K39" s="27" t="inlineStr">
        <is>
          <t>Not mentioned</t>
        </is>
      </c>
      <c r="L39" s="27" t="inlineStr">
        <is>
          <t>Not mentioned</t>
        </is>
      </c>
      <c r="M39" s="27" t="inlineStr">
        <is>
          <t>Not mentioned</t>
        </is>
      </c>
      <c r="N39" s="27" t="inlineStr">
        <is>
          <t>Descript, Happy Scribe, Rask.ai, Veed.io</t>
        </is>
      </c>
      <c r="O39" s="27" t="inlineStr">
        <is>
          <t>2026-10-21</t>
        </is>
      </c>
      <c r="P39" s="27" t="inlineStr">
        <is>
          <t>2026-10-23</t>
        </is>
      </c>
      <c r="Q39" s="27" t="inlineStr">
        <is>
          <t>No</t>
        </is>
      </c>
      <c r="R39" s="27" t="inlineStr">
        <is>
          <t>evidence/raw/q035_answers.json</t>
        </is>
      </c>
      <c r="S39" s="27" t="inlineStr">
        <is>
          <t>Low</t>
        </is>
      </c>
      <c r="T39" s="27" t="inlineStr">
        <is>
          <t>Hardcoded captions ensure display across platforms that do not support sidecar SRT.</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Best AI tool to generate viral hashtags and captions for TikTok</t>
        </is>
      </c>
      <c r="C40" s="27" t="inlineStr">
        <is>
          <t>Comparison</t>
        </is>
      </c>
      <c r="D40" s="27" t="inlineStr">
        <is>
          <t>YouTube Search Suggestion</t>
        </is>
      </c>
      <c r="E40" s="27" t="inlineStr">
        <is>
          <t>https://www.youtube.com/results?search_query=best+ai+tool+to+generate+viral+hashtags+and+captions+for+tiktok</t>
        </is>
      </c>
      <c r="F40" s="27" t="inlineStr">
        <is>
          <t>US</t>
        </is>
      </c>
      <c r="G40" s="27" t="inlineStr">
        <is>
          <t>&gt;100</t>
        </is>
      </c>
      <c r="H40" s="27" t="inlineStr">
        <is>
          <t>AI Overview</t>
        </is>
      </c>
      <c r="I40" s="27" t="inlineStr">
        <is>
          <t>https://www.movavi.com/learning-portal/how-to-create-srt-file.html</t>
        </is>
      </c>
      <c r="J40" s="27" t="inlineStr">
        <is>
          <t>Not mentioned</t>
        </is>
      </c>
      <c r="K40" s="27" t="inlineStr">
        <is>
          <t>Not mentioned</t>
        </is>
      </c>
      <c r="L40" s="27" t="inlineStr">
        <is>
          <t>Not mentioned</t>
        </is>
      </c>
      <c r="M40" s="27" t="inlineStr">
        <is>
          <t>Not mentioned</t>
        </is>
      </c>
      <c r="N40" s="27" t="inlineStr">
        <is>
          <t>Aegisub, Descript, Subtitle Edit, Veed.io</t>
        </is>
      </c>
      <c r="O40" s="27" t="inlineStr">
        <is>
          <t>2026-10-21</t>
        </is>
      </c>
      <c r="P40" s="27" t="inlineStr">
        <is>
          <t>2026-10-23</t>
        </is>
      </c>
      <c r="Q40" s="27" t="inlineStr">
        <is>
          <t>No</t>
        </is>
      </c>
      <c r="R40" s="27" t="inlineStr">
        <is>
          <t>evidence/raw/q036_answers.json</t>
        </is>
      </c>
      <c r="S40" s="27" t="inlineStr">
        <is>
          <t>High</t>
        </is>
      </c>
      <c r="T40" s="27" t="inlineStr">
        <is>
          <t>Hashtags and hook captions influence TikTok SEO and recommendation feeds.</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change subtitle font, color, and word highlight animations with AI?</t>
        </is>
      </c>
      <c r="C41" s="27" t="inlineStr">
        <is>
          <t>Informational</t>
        </is>
      </c>
      <c r="D41" s="27" t="inlineStr">
        <is>
          <t>People Also Ask</t>
        </is>
      </c>
      <c r="E41" s="27" t="inlineStr">
        <is>
          <t>https://www.google.com/search?q=how+to+change+subtitle+font+and+word+highlight+animation</t>
        </is>
      </c>
      <c r="F41" s="27" t="inlineStr">
        <is>
          <t>US</t>
        </is>
      </c>
      <c r="G41" s="27" t="inlineStr">
        <is>
          <t>&gt;100</t>
        </is>
      </c>
      <c r="H41" s="27" t="inlineStr">
        <is>
          <t>Answer box</t>
        </is>
      </c>
      <c r="I41" s="27" t="inlineStr">
        <is>
          <t>https://www.descript.com/filler-word-removal</t>
        </is>
      </c>
      <c r="J41" s="27" t="inlineStr">
        <is>
          <t>Not mentioned</t>
        </is>
      </c>
      <c r="K41" s="27" t="inlineStr">
        <is>
          <t>Not mentioned</t>
        </is>
      </c>
      <c r="L41" s="27" t="inlineStr">
        <is>
          <t>Not mentioned</t>
        </is>
      </c>
      <c r="M41" s="27" t="inlineStr">
        <is>
          <t>Not mentioned</t>
        </is>
      </c>
      <c r="N41" s="27" t="inlineStr">
        <is>
          <t>Cleanvoice, Descript, OpusClip, Riverside</t>
        </is>
      </c>
      <c r="O41" s="27" t="inlineStr">
        <is>
          <t>2026-10-21</t>
        </is>
      </c>
      <c r="P41" s="27" t="inlineStr">
        <is>
          <t>2026-10-23</t>
        </is>
      </c>
      <c r="Q41" s="27" t="inlineStr">
        <is>
          <t>No</t>
        </is>
      </c>
      <c r="R41" s="27" t="inlineStr">
        <is>
          <t>evidence/raw/q037_answers.json</t>
        </is>
      </c>
      <c r="S41" s="27" t="inlineStr">
        <is>
          <t>Low</t>
        </is>
      </c>
      <c r="T41" s="27" t="inlineStr">
        <is>
          <t>Brand consistency requires creators to upload custom brand typography.</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generate accurate SRT subtitle files for 1 hour video in minutes?</t>
        </is>
      </c>
      <c r="C42" s="27" t="inlineStr">
        <is>
          <t>Informational</t>
        </is>
      </c>
      <c r="D42" s="27" t="inlineStr">
        <is>
          <t>Reddit r/VideoEditing</t>
        </is>
      </c>
      <c r="E42" s="27" t="inlineStr">
        <is>
          <t>https://www.reddit.com/r/VideoEditing/comments/fastest_ai_srt_subtitle_generator/</t>
        </is>
      </c>
      <c r="F42" s="27" t="inlineStr">
        <is>
          <t>US</t>
        </is>
      </c>
      <c r="G42" s="27" t="inlineStr">
        <is>
          <t>&gt;100</t>
        </is>
      </c>
      <c r="H42" s="27" t="inlineStr">
        <is>
          <t>AI Overview</t>
        </is>
      </c>
      <c r="I42" s="27" t="inlineStr">
        <is>
          <t>https://www.kapwing.com/resources/fix-tiktok-audio-delay/</t>
        </is>
      </c>
      <c r="J42" s="27" t="inlineStr">
        <is>
          <t>Not mentioned</t>
        </is>
      </c>
      <c r="K42" s="27" t="inlineStr">
        <is>
          <t>Not mentioned</t>
        </is>
      </c>
      <c r="L42" s="27" t="inlineStr">
        <is>
          <t>Not mentioned</t>
        </is>
      </c>
      <c r="M42" s="27" t="inlineStr">
        <is>
          <t>Not mentioned</t>
        </is>
      </c>
      <c r="N42" s="27" t="inlineStr">
        <is>
          <t>CapCut, Kapwing, Veed.io</t>
        </is>
      </c>
      <c r="O42" s="27" t="inlineStr">
        <is>
          <t>2026-10-21</t>
        </is>
      </c>
      <c r="P42" s="27" t="inlineStr">
        <is>
          <t>2026-10-23</t>
        </is>
      </c>
      <c r="Q42" s="27" t="inlineStr">
        <is>
          <t>No</t>
        </is>
      </c>
      <c r="R42" s="27" t="inlineStr">
        <is>
          <t>evidence/raw/q038_answers.json</t>
        </is>
      </c>
      <c r="S42" s="27" t="inlineStr">
        <is>
          <t>Low</t>
        </is>
      </c>
      <c r="T42" s="27" t="inlineStr">
        <is>
          <t>Fast transcription speed prevents bottlenecks in long-form delivery.</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to auto generate keyword rich titles and descriptions for YouTube Shorts?</t>
        </is>
      </c>
      <c r="C43" s="27" t="inlineStr">
        <is>
          <t>Informational</t>
        </is>
      </c>
      <c r="D43" s="27" t="inlineStr">
        <is>
          <t>Google Search Suggestion</t>
        </is>
      </c>
      <c r="E43" s="27" t="inlineStr">
        <is>
          <t>https://www.google.com/search?q=how+to+auto+generate+keyword+rich+titles+for+youtube+shorts</t>
        </is>
      </c>
      <c r="F43" s="27" t="inlineStr">
        <is>
          <t>US</t>
        </is>
      </c>
      <c r="G43" s="27" t="inlineStr">
        <is>
          <t>&gt;100</t>
        </is>
      </c>
      <c r="H43" s="27" t="inlineStr">
        <is>
          <t>AI Overview</t>
        </is>
      </c>
      <c r="I43" s="27" t="inlineStr">
        <is>
          <t>https://later.com/blog/best-caption-apps-instagram/</t>
        </is>
      </c>
      <c r="J43" s="27" t="inlineStr">
        <is>
          <t>Not mentioned</t>
        </is>
      </c>
      <c r="K43" s="27" t="inlineStr">
        <is>
          <t>Not mentioned</t>
        </is>
      </c>
      <c r="L43" s="27" t="inlineStr">
        <is>
          <t>Not mentioned</t>
        </is>
      </c>
      <c r="M43" s="27" t="inlineStr">
        <is>
          <t>Not mentioned</t>
        </is>
      </c>
      <c r="N43" s="27" t="inlineStr">
        <is>
          <t>CapCut, Captions.ai, Later, Submagic</t>
        </is>
      </c>
      <c r="O43" s="27" t="inlineStr">
        <is>
          <t>2026-10-21</t>
        </is>
      </c>
      <c r="P43" s="27" t="inlineStr">
        <is>
          <t>2026-10-23</t>
        </is>
      </c>
      <c r="Q43" s="27" t="inlineStr">
        <is>
          <t>No</t>
        </is>
      </c>
      <c r="R43" s="27" t="inlineStr">
        <is>
          <t>evidence/raw/q039_answers.json</t>
        </is>
      </c>
      <c r="S43" s="27" t="inlineStr">
        <is>
          <t>Low</t>
        </is>
      </c>
      <c r="T43" s="27" t="inlineStr">
        <is>
          <t>Shorts titles require concise hook phrasing with primary keywords.</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AI app adds bouncing text and sound effects on key words in video?</t>
        </is>
      </c>
      <c r="C44" s="27" t="inlineStr">
        <is>
          <t>Comparison</t>
        </is>
      </c>
      <c r="D44" s="27" t="inlineStr">
        <is>
          <t>YouTube Search Suggestion</t>
        </is>
      </c>
      <c r="E44" s="27" t="inlineStr">
        <is>
          <t>https://www.youtube.com/results?search_query=what+ai+app+adds+bouncing+text+and+sound+effects</t>
        </is>
      </c>
      <c r="F44" s="27" t="inlineStr">
        <is>
          <t>US</t>
        </is>
      </c>
      <c r="G44" s="27" t="inlineStr">
        <is>
          <t>&gt;100</t>
        </is>
      </c>
      <c r="H44" s="27" t="inlineStr">
        <is>
          <t>AI Overview</t>
        </is>
      </c>
      <c r="I44" s="27" t="inlineStr">
        <is>
          <t>https://submagic.co/blog/ali-abdaal-caption-style</t>
        </is>
      </c>
      <c r="J44" s="27" t="inlineStr">
        <is>
          <t>Not mentioned</t>
        </is>
      </c>
      <c r="K44" s="27" t="inlineStr">
        <is>
          <t>Not mentioned</t>
        </is>
      </c>
      <c r="L44" s="27" t="inlineStr">
        <is>
          <t>Not mentioned</t>
        </is>
      </c>
      <c r="M44" s="27" t="inlineStr">
        <is>
          <t>Not mentioned</t>
        </is>
      </c>
      <c r="N44" s="27" t="inlineStr">
        <is>
          <t>After Effects, CapCut, Premiere Pro, Submagic</t>
        </is>
      </c>
      <c r="O44" s="27" t="inlineStr">
        <is>
          <t>2026-10-21</t>
        </is>
      </c>
      <c r="P44" s="27" t="inlineStr">
        <is>
          <t>2026-10-23</t>
        </is>
      </c>
      <c r="Q44" s="27" t="inlineStr">
        <is>
          <t>No</t>
        </is>
      </c>
      <c r="R44" s="27" t="inlineStr">
        <is>
          <t>evidence/raw/q040_answers.json</t>
        </is>
      </c>
      <c r="S44" s="27" t="inlineStr">
        <is>
          <t>High</t>
        </is>
      </c>
      <c r="T44" s="27" t="inlineStr">
        <is>
          <t>Kinetic subtitles paired with 'pop' sound effects keep mobile viewers engaged.</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automatically post one short video to TikTok, Reels, and Shorts at once?</t>
        </is>
      </c>
      <c r="C45" s="27" t="inlineStr">
        <is>
          <t>Informational</t>
        </is>
      </c>
      <c r="D45" s="27" t="inlineStr">
        <is>
          <t>Google Search Suggestion</t>
        </is>
      </c>
      <c r="E45" s="27" t="inlineStr">
        <is>
          <t>https://www.google.com/search?q=how+to+automatically+post+one+video+to+tiktok+reels+and+shorts+at+once</t>
        </is>
      </c>
      <c r="F45" s="27" t="inlineStr">
        <is>
          <t>US</t>
        </is>
      </c>
      <c r="G45" s="27" t="inlineStr">
        <is>
          <t>&gt;100</t>
        </is>
      </c>
      <c r="H45" s="27" t="inlineStr">
        <is>
          <t>Answer box</t>
        </is>
      </c>
      <c r="I45" s="27" t="inlineStr">
        <is>
          <t>https://www.veed.io/learn/multi-speaker-captions</t>
        </is>
      </c>
      <c r="J45" s="27" t="inlineStr">
        <is>
          <t>Not mentioned</t>
        </is>
      </c>
      <c r="K45" s="27" t="inlineStr">
        <is>
          <t>Not mentioned</t>
        </is>
      </c>
      <c r="L45" s="27" t="inlineStr">
        <is>
          <t>Not mentioned</t>
        </is>
      </c>
      <c r="M45" s="27" t="inlineStr">
        <is>
          <t>Not mentioned</t>
        </is>
      </c>
      <c r="N45" s="27" t="inlineStr">
        <is>
          <t>Descript, OpusClip, Sonix, Veed.io</t>
        </is>
      </c>
      <c r="O45" s="27" t="inlineStr">
        <is>
          <t>2026-10-21</t>
        </is>
      </c>
      <c r="P45" s="27" t="inlineStr">
        <is>
          <t>2026-10-23</t>
        </is>
      </c>
      <c r="Q45" s="27" t="inlineStr">
        <is>
          <t>No</t>
        </is>
      </c>
      <c r="R45" s="27" t="inlineStr">
        <is>
          <t>evidence/raw/q041_answers.json</t>
        </is>
      </c>
      <c r="S45" s="27" t="inlineStr">
        <is>
          <t>Low</t>
        </is>
      </c>
      <c r="T45" s="27" t="inlineStr">
        <is>
          <t>Repurpose.io and Metricool rank prominently for cross-posting queries.</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What is the best social media scheduler for automated short-form video?</t>
        </is>
      </c>
      <c r="C46" s="27" t="inlineStr">
        <is>
          <t>Comparison</t>
        </is>
      </c>
      <c r="D46" s="27" t="inlineStr">
        <is>
          <t>Reddit r/socialmedia</t>
        </is>
      </c>
      <c r="E46" s="27" t="inlineStr">
        <is>
          <t>https://www.reddit.com/r/socialmedia/comments/best_scheduler_for_short_form_video/</t>
        </is>
      </c>
      <c r="F46" s="27" t="inlineStr">
        <is>
          <t>US</t>
        </is>
      </c>
      <c r="G46" s="27" t="inlineStr">
        <is>
          <t>&gt;100</t>
        </is>
      </c>
      <c r="H46" s="27" t="inlineStr">
        <is>
          <t>AI Overview</t>
        </is>
      </c>
      <c r="I46" s="27" t="inlineStr">
        <is>
          <t>https://clideo.com/subtitle-video</t>
        </is>
      </c>
      <c r="J46" s="27" t="inlineStr">
        <is>
          <t>Not mentioned</t>
        </is>
      </c>
      <c r="K46" s="27" t="inlineStr">
        <is>
          <t>Not mentioned</t>
        </is>
      </c>
      <c r="L46" s="27" t="inlineStr">
        <is>
          <t>Not mentioned</t>
        </is>
      </c>
      <c r="M46" s="27" t="inlineStr">
        <is>
          <t>Not mentioned</t>
        </is>
      </c>
      <c r="N46" s="27" t="inlineStr">
        <is>
          <t>Clideo, Kapwing, Media.io, Veed.io</t>
        </is>
      </c>
      <c r="O46" s="27" t="inlineStr">
        <is>
          <t>2026-10-21</t>
        </is>
      </c>
      <c r="P46" s="27" t="inlineStr">
        <is>
          <t>2026-10-23</t>
        </is>
      </c>
      <c r="Q46" s="27" t="inlineStr">
        <is>
          <t>No</t>
        </is>
      </c>
      <c r="R46" s="27" t="inlineStr">
        <is>
          <t>evidence/raw/q042_answers.json</t>
        </is>
      </c>
      <c r="S46" s="27" t="inlineStr">
        <is>
          <t>High</t>
        </is>
      </c>
      <c r="T46" s="27" t="inlineStr">
        <is>
          <t>Standalone schedulers require manual export/import from video editors.</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Can you schedule YouTube Shorts from desktop without losing quality?</t>
        </is>
      </c>
      <c r="C47" s="27" t="inlineStr">
        <is>
          <t>Informational</t>
        </is>
      </c>
      <c r="D47" s="27" t="inlineStr">
        <is>
          <t>People Also Ask</t>
        </is>
      </c>
      <c r="E47" s="27" t="inlineStr">
        <is>
          <t>https://www.google.com/search?q=can+you+schedule+youtube+shorts+from+desktop+without+losing+quality</t>
        </is>
      </c>
      <c r="F47" s="27" t="inlineStr">
        <is>
          <t>US</t>
        </is>
      </c>
      <c r="G47" s="27" t="inlineStr">
        <is>
          <t>&gt;100</t>
        </is>
      </c>
      <c r="H47" s="27" t="inlineStr">
        <is>
          <t>AI Overview</t>
        </is>
      </c>
      <c r="I47" s="27" t="inlineStr">
        <is>
          <t>https://www.dubverse.ai/blog/tamil-subtitles-ai/</t>
        </is>
      </c>
      <c r="J47" s="27" t="inlineStr">
        <is>
          <t>Not mentioned</t>
        </is>
      </c>
      <c r="K47" s="27" t="inlineStr">
        <is>
          <t>Not mentioned</t>
        </is>
      </c>
      <c r="L47" s="27" t="inlineStr">
        <is>
          <t>Not mentioned</t>
        </is>
      </c>
      <c r="M47" s="27" t="inlineStr">
        <is>
          <t>Not mentioned</t>
        </is>
      </c>
      <c r="N47" s="27" t="inlineStr">
        <is>
          <t>Animaker, Dubverse, Veed.io</t>
        </is>
      </c>
      <c r="O47" s="27" t="inlineStr">
        <is>
          <t>2026-10-21</t>
        </is>
      </c>
      <c r="P47" s="27" t="inlineStr">
        <is>
          <t>2026-10-23</t>
        </is>
      </c>
      <c r="Q47" s="27" t="inlineStr">
        <is>
          <t>No</t>
        </is>
      </c>
      <c r="R47" s="27" t="inlineStr">
        <is>
          <t>evidence/raw/q043_answers.json</t>
        </is>
      </c>
      <c r="S47" s="27" t="inlineStr">
        <is>
          <t>Low</t>
        </is>
      </c>
      <c r="T47" s="27" t="inlineStr">
        <is>
          <t>Mobile uploads often compress videos; creators demand crisp 1080x1920 uploads.</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How to auto publish repurposed video clips directly from an editor?</t>
        </is>
      </c>
      <c r="C48" s="27" t="inlineStr">
        <is>
          <t>Informational</t>
        </is>
      </c>
      <c r="D48" s="27" t="inlineStr">
        <is>
          <t>Google Search Suggestion</t>
        </is>
      </c>
      <c r="E48" s="27" t="inlineStr">
        <is>
          <t>https://www.google.com/search?q=how+to+auto+publish+repurposed+video+clips+directly+from+editor</t>
        </is>
      </c>
      <c r="F48" s="27" t="inlineStr">
        <is>
          <t>US</t>
        </is>
      </c>
      <c r="G48" s="27" t="inlineStr">
        <is>
          <t>&gt;100</t>
        </is>
      </c>
      <c r="H48" s="27" t="inlineStr">
        <is>
          <t>AI Overview</t>
        </is>
      </c>
      <c r="I48" s="27" t="inlineStr">
        <is>
          <t>https://macsources.com/best-mac-subtitle-editors/</t>
        </is>
      </c>
      <c r="J48" s="27" t="inlineStr">
        <is>
          <t>Not mentioned</t>
        </is>
      </c>
      <c r="K48" s="27" t="inlineStr">
        <is>
          <t>Not mentioned</t>
        </is>
      </c>
      <c r="L48" s="27" t="inlineStr">
        <is>
          <t>Not mentioned</t>
        </is>
      </c>
      <c r="M48" s="27" t="inlineStr">
        <is>
          <t>Not mentioned</t>
        </is>
      </c>
      <c r="N48" s="27" t="inlineStr">
        <is>
          <t>CapCut, Descript, MacWhisper, Whisper Transcription</t>
        </is>
      </c>
      <c r="O48" s="27" t="inlineStr">
        <is>
          <t>2026-10-21</t>
        </is>
      </c>
      <c r="P48" s="27" t="inlineStr">
        <is>
          <t>2026-10-23</t>
        </is>
      </c>
      <c r="Q48" s="27" t="inlineStr">
        <is>
          <t>No</t>
        </is>
      </c>
      <c r="R48" s="27" t="inlineStr">
        <is>
          <t>evidence/raw/q044_answers.json</t>
        </is>
      </c>
      <c r="S48" s="27" t="inlineStr">
        <is>
          <t>Low</t>
        </is>
      </c>
      <c r="T48" s="27" t="inlineStr">
        <is>
          <t>The disconnect between clipping tools and schedulers causes significant churn.</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Best tool to schedule Instagram Reels with custom thumbnail covers</t>
        </is>
      </c>
      <c r="C49" s="27" t="inlineStr">
        <is>
          <t>Comparison</t>
        </is>
      </c>
      <c r="D49" s="27" t="inlineStr">
        <is>
          <t>Google Search Suggestion</t>
        </is>
      </c>
      <c r="E49" s="27" t="inlineStr">
        <is>
          <t>https://www.google.com/search?q=best+tool+to+schedule+instagram+reels+with+custom+cover</t>
        </is>
      </c>
      <c r="F49" s="27" t="inlineStr">
        <is>
          <t>US</t>
        </is>
      </c>
      <c r="G49" s="27" t="inlineStr">
        <is>
          <t>&gt;100</t>
        </is>
      </c>
      <c r="H49" s="27" t="inlineStr">
        <is>
          <t>Answer box</t>
        </is>
      </c>
      <c r="I49" s="27" t="inlineStr">
        <is>
          <t>https://www.kapwing.com/subtitles/burn-in</t>
        </is>
      </c>
      <c r="J49" s="27" t="inlineStr">
        <is>
          <t>Not mentioned</t>
        </is>
      </c>
      <c r="K49" s="27" t="inlineStr">
        <is>
          <t>Not mentioned</t>
        </is>
      </c>
      <c r="L49" s="27" t="inlineStr">
        <is>
          <t>Not mentioned</t>
        </is>
      </c>
      <c r="M49" s="27" t="inlineStr">
        <is>
          <t>Not mentioned</t>
        </is>
      </c>
      <c r="N49" s="27" t="inlineStr">
        <is>
          <t>Clideo, Handbrake, Kapwing, Veed.io</t>
        </is>
      </c>
      <c r="O49" s="27" t="inlineStr">
        <is>
          <t>2026-10-21</t>
        </is>
      </c>
      <c r="P49" s="27" t="inlineStr">
        <is>
          <t>2026-10-23</t>
        </is>
      </c>
      <c r="Q49" s="27" t="inlineStr">
        <is>
          <t>No</t>
        </is>
      </c>
      <c r="R49" s="27" t="inlineStr">
        <is>
          <t>evidence/raw/q045_answers.json</t>
        </is>
      </c>
      <c r="S49" s="27" t="inlineStr">
        <is>
          <t>High</t>
        </is>
      </c>
      <c r="T49" s="27" t="inlineStr">
        <is>
          <t>Instagram grid aesthetics require precise cover frame selection.</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Does auto-scheduling TikTok videos with third-party tools lower view count?</t>
        </is>
      </c>
      <c r="C50" s="27" t="inlineStr">
        <is>
          <t>Informational</t>
        </is>
      </c>
      <c r="D50" s="27" t="inlineStr">
        <is>
          <t>Reddit r/ContentCreators</t>
        </is>
      </c>
      <c r="E50" s="27" t="inlineStr">
        <is>
          <t>https://www.reddit.com/r/ContentCreators/comments/does_scheduling_tiktok_lower_views/</t>
        </is>
      </c>
      <c r="F50" s="27" t="inlineStr">
        <is>
          <t>US</t>
        </is>
      </c>
      <c r="G50" s="27" t="inlineStr">
        <is>
          <t>&gt;100</t>
        </is>
      </c>
      <c r="H50" s="27" t="inlineStr">
        <is>
          <t>Both</t>
        </is>
      </c>
      <c r="I50" s="27" t="inlineStr">
        <is>
          <t>https://captions.ai/blog/how-tiktokers-add-captions</t>
        </is>
      </c>
      <c r="J50" s="27" t="inlineStr">
        <is>
          <t>Not mentioned</t>
        </is>
      </c>
      <c r="K50" s="27" t="inlineStr">
        <is>
          <t>Not mentioned</t>
        </is>
      </c>
      <c r="L50" s="27" t="inlineStr">
        <is>
          <t>Not mentioned</t>
        </is>
      </c>
      <c r="M50" s="27" t="inlineStr">
        <is>
          <t>Not mentioned</t>
        </is>
      </c>
      <c r="N50" s="27" t="inlineStr">
        <is>
          <t>CapCut, Captions.ai, OpusClip, Submagic</t>
        </is>
      </c>
      <c r="O50" s="27" t="inlineStr">
        <is>
          <t>2026-10-21</t>
        </is>
      </c>
      <c r="P50" s="27" t="inlineStr">
        <is>
          <t>2026-10-23</t>
        </is>
      </c>
      <c r="Q50" s="27" t="inlineStr">
        <is>
          <t>No</t>
        </is>
      </c>
      <c r="R50" s="27" t="inlineStr">
        <is>
          <t>evidence/raw/q046_answers.json</t>
        </is>
      </c>
      <c r="S50" s="27" t="inlineStr">
        <is>
          <t>Low</t>
        </is>
      </c>
      <c r="T50" s="27" t="inlineStr">
        <is>
          <t>Common creator myth: creators fear API publishing harms organic reach.</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How to bulk upload and schedule 50 video clips across social media?</t>
        </is>
      </c>
      <c r="C51" s="27" t="inlineStr">
        <is>
          <t>Informational</t>
        </is>
      </c>
      <c r="D51" s="27" t="inlineStr">
        <is>
          <t>AnswerThePublic</t>
        </is>
      </c>
      <c r="E51" s="27" t="inlineStr">
        <is>
          <t>https://answerthepublic.com/reports/bulk-schedule-video-clips</t>
        </is>
      </c>
      <c r="F51" s="27" t="inlineStr">
        <is>
          <t>Global</t>
        </is>
      </c>
      <c r="G51" s="27" t="inlineStr">
        <is>
          <t>&gt;100</t>
        </is>
      </c>
      <c r="H51" s="27" t="inlineStr">
        <is>
          <t>AI Overview</t>
        </is>
      </c>
      <c r="I51" s="27" t="inlineStr">
        <is>
          <t>https://www.socialinsider.io/blog/linkedin-video-subtitles/</t>
        </is>
      </c>
      <c r="J51" s="27" t="inlineStr">
        <is>
          <t>Not mentioned</t>
        </is>
      </c>
      <c r="K51" s="27" t="inlineStr">
        <is>
          <t>Not mentioned</t>
        </is>
      </c>
      <c r="L51" s="27" t="inlineStr">
        <is>
          <t>Not mentioned</t>
        </is>
      </c>
      <c r="M51" s="27" t="inlineStr">
        <is>
          <t>Not mentioned</t>
        </is>
      </c>
      <c r="N51" s="27" t="inlineStr">
        <is>
          <t>Descript, Kapwing, Veed.io, Zubtitle</t>
        </is>
      </c>
      <c r="O51" s="27" t="inlineStr">
        <is>
          <t>2026-10-21</t>
        </is>
      </c>
      <c r="P51" s="27" t="inlineStr">
        <is>
          <t>2026-10-23</t>
        </is>
      </c>
      <c r="Q51" s="27" t="inlineStr">
        <is>
          <t>No</t>
        </is>
      </c>
      <c r="R51" s="27" t="inlineStr">
        <is>
          <t>evidence/raw/q047_answers.json</t>
        </is>
      </c>
      <c r="S51" s="27" t="inlineStr">
        <is>
          <t>Low</t>
        </is>
      </c>
      <c r="T51" s="27" t="inlineStr">
        <is>
          <t>Agencies managing client deliverables need CSV or one-click batch publishing.</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Can AI determine the best time to post videos on TikTok based on analytics?</t>
        </is>
      </c>
      <c r="C52" s="27" t="inlineStr">
        <is>
          <t>Informational</t>
        </is>
      </c>
      <c r="D52" s="27" t="inlineStr">
        <is>
          <t>People Also Ask</t>
        </is>
      </c>
      <c r="E52" s="27" t="inlineStr">
        <is>
          <t>https://www.google.com/search?q=can+ai+determine+the+best+time+to+post+on+tiktok</t>
        </is>
      </c>
      <c r="F52" s="27" t="inlineStr">
        <is>
          <t>US</t>
        </is>
      </c>
      <c r="G52" s="27" t="inlineStr">
        <is>
          <t>&gt;100</t>
        </is>
      </c>
      <c r="H52" s="27" t="inlineStr">
        <is>
          <t>Answer box</t>
        </is>
      </c>
      <c r="I52" s="27" t="inlineStr">
        <is>
          <t>https://www.descript.com/features/bleep-censor-audio</t>
        </is>
      </c>
      <c r="J52" s="27" t="inlineStr">
        <is>
          <t>Not mentioned</t>
        </is>
      </c>
      <c r="K52" s="27" t="inlineStr">
        <is>
          <t>Not mentioned</t>
        </is>
      </c>
      <c r="L52" s="27" t="inlineStr">
        <is>
          <t>Not mentioned</t>
        </is>
      </c>
      <c r="M52" s="27" t="inlineStr">
        <is>
          <t>Not mentioned</t>
        </is>
      </c>
      <c r="N52" s="27" t="inlineStr">
        <is>
          <t>CapCut, Descript, Riverside, Submagic</t>
        </is>
      </c>
      <c r="O52" s="27" t="inlineStr">
        <is>
          <t>2026-10-21</t>
        </is>
      </c>
      <c r="P52" s="27" t="inlineStr">
        <is>
          <t>2026-10-23</t>
        </is>
      </c>
      <c r="Q52" s="27" t="inlineStr">
        <is>
          <t>No</t>
        </is>
      </c>
      <c r="R52" s="27" t="inlineStr">
        <is>
          <t>evidence/raw/q048_answers.json</t>
        </is>
      </c>
      <c r="S52" s="27" t="inlineStr">
        <is>
          <t>Low</t>
        </is>
      </c>
      <c r="T52" s="27" t="inlineStr">
        <is>
          <t>Time-slot optimization increases initial impression velocity.</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automate social media posting using webhooks or Zapier for video?</t>
        </is>
      </c>
      <c r="C53" s="27" t="inlineStr">
        <is>
          <t>Informational</t>
        </is>
      </c>
      <c r="D53" s="27" t="inlineStr">
        <is>
          <t>Google Search Suggestion</t>
        </is>
      </c>
      <c r="E53" s="27" t="inlineStr">
        <is>
          <t>https://www.google.com/search?q=how+to+automate+social+media+posting+using+zapier+for+video</t>
        </is>
      </c>
      <c r="F53" s="27" t="inlineStr">
        <is>
          <t>US</t>
        </is>
      </c>
      <c r="G53" s="27" t="inlineStr">
        <is>
          <t>&gt;100</t>
        </is>
      </c>
      <c r="H53" s="27" t="inlineStr">
        <is>
          <t>AI Overview</t>
        </is>
      </c>
      <c r="I53" s="27" t="inlineStr">
        <is>
          <t>https://assemblyai.com/blog/conformer-2-vs-whisper/</t>
        </is>
      </c>
      <c r="J53" s="27" t="inlineStr">
        <is>
          <t>Not mentioned</t>
        </is>
      </c>
      <c r="K53" s="27" t="inlineStr">
        <is>
          <t>Not mentioned</t>
        </is>
      </c>
      <c r="L53" s="27" t="inlineStr">
        <is>
          <t>Not mentioned</t>
        </is>
      </c>
      <c r="M53" s="27" t="inlineStr">
        <is>
          <t>Not mentioned</t>
        </is>
      </c>
      <c r="N53" s="27" t="inlineStr">
        <is>
          <t>AssemblyAI, Deepgram, Descript, OpenAI Whisper</t>
        </is>
      </c>
      <c r="O53" s="27" t="inlineStr">
        <is>
          <t>2026-10-21</t>
        </is>
      </c>
      <c r="P53" s="27" t="inlineStr">
        <is>
          <t>2026-10-23</t>
        </is>
      </c>
      <c r="Q53" s="27" t="inlineStr">
        <is>
          <t>No</t>
        </is>
      </c>
      <c r="R53" s="27" t="inlineStr">
        <is>
          <t>evidence/raw/q049_answers.json</t>
        </is>
      </c>
      <c r="S53" s="27" t="inlineStr">
        <is>
          <t>Low</t>
        </is>
      </c>
      <c r="T53" s="27" t="inlineStr">
        <is>
          <t>Advanced creators connect Google Drive folders directly to automated social posting.</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scheduling platform supports direct publishing to YouTube Shorts API?</t>
        </is>
      </c>
      <c r="C54" s="27" t="inlineStr">
        <is>
          <t>Comparison</t>
        </is>
      </c>
      <c r="D54" s="27" t="inlineStr">
        <is>
          <t>Google Search Suggestion</t>
        </is>
      </c>
      <c r="E54" s="27" t="inlineStr">
        <is>
          <t>https://www.google.com/search?q=what+scheduling+platform+supports+direct+publishing+to+youtube+shorts+api</t>
        </is>
      </c>
      <c r="F54" s="27" t="inlineStr">
        <is>
          <t>Global</t>
        </is>
      </c>
      <c r="G54" s="27" t="inlineStr">
        <is>
          <t>&gt;100</t>
        </is>
      </c>
      <c r="H54" s="27" t="inlineStr">
        <is>
          <t>Answer box</t>
        </is>
      </c>
      <c r="I54" s="27" t="inlineStr">
        <is>
          <t>https://developer.mozilla.org/en-US/docs/Web/API/WebVTT_API</t>
        </is>
      </c>
      <c r="J54" s="27" t="inlineStr">
        <is>
          <t>Not mentioned</t>
        </is>
      </c>
      <c r="K54" s="27" t="inlineStr">
        <is>
          <t>Not mentioned</t>
        </is>
      </c>
      <c r="L54" s="27" t="inlineStr">
        <is>
          <t>Not mentioned</t>
        </is>
      </c>
      <c r="M54" s="27" t="inlineStr">
        <is>
          <t>Not mentioned</t>
        </is>
      </c>
      <c r="N54" s="27" t="inlineStr">
        <is>
          <t>Descript, Happy Scribe, MDN Web Docs, Rev</t>
        </is>
      </c>
      <c r="O54" s="27" t="inlineStr">
        <is>
          <t>2026-10-21</t>
        </is>
      </c>
      <c r="P54" s="27" t="inlineStr">
        <is>
          <t>2026-10-23</t>
        </is>
      </c>
      <c r="Q54" s="27" t="inlineStr">
        <is>
          <t>No</t>
        </is>
      </c>
      <c r="R54" s="27" t="inlineStr">
        <is>
          <t>evidence/raw/q050_answers.json</t>
        </is>
      </c>
      <c r="S54" s="27" t="inlineStr">
        <is>
          <t>High</t>
        </is>
      </c>
      <c r="T54" s="27" t="inlineStr">
        <is>
          <t>Direct API posting bypasses manual push notification approval on mobile.</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What video length gets the highest retention on YouTube Shorts in 2026?</t>
        </is>
      </c>
      <c r="C55" s="27" t="inlineStr">
        <is>
          <t>Informational</t>
        </is>
      </c>
      <c r="D55" s="27" t="inlineStr">
        <is>
          <t>Google Search Suggestion</t>
        </is>
      </c>
      <c r="E55" s="27" t="inlineStr">
        <is>
          <t>https://www.google.com/search?q=what+video+length+gets+highest+retention+on+youtube+shorts</t>
        </is>
      </c>
      <c r="F55" s="27" t="inlineStr">
        <is>
          <t>US</t>
        </is>
      </c>
      <c r="G55" s="27" t="inlineStr">
        <is>
          <t>&gt;100</t>
        </is>
      </c>
      <c r="H55" s="27" t="inlineStr">
        <is>
          <t>Both</t>
        </is>
      </c>
      <c r="I55" s="27" t="inlineStr">
        <is>
          <t>https://podcast.adobe.com/enhance</t>
        </is>
      </c>
      <c r="J55" s="27" t="inlineStr">
        <is>
          <t>Not mentioned</t>
        </is>
      </c>
      <c r="K55" s="27" t="inlineStr">
        <is>
          <t>Not mentioned</t>
        </is>
      </c>
      <c r="L55" s="27" t="inlineStr">
        <is>
          <t>Not mentioned</t>
        </is>
      </c>
      <c r="M55" s="27" t="inlineStr">
        <is>
          <t>Not mentioned</t>
        </is>
      </c>
      <c r="N55" s="27" t="inlineStr">
        <is>
          <t>Adobe Podcast Enhance, Auphonic, Cleanvoice, Descript Studio Sound</t>
        </is>
      </c>
      <c r="O55" s="27" t="inlineStr">
        <is>
          <t>2026-10-21</t>
        </is>
      </c>
      <c r="P55" s="27" t="inlineStr">
        <is>
          <t>2026-10-23</t>
        </is>
      </c>
      <c r="Q55" s="27" t="inlineStr">
        <is>
          <t>No</t>
        </is>
      </c>
      <c r="R55" s="27" t="inlineStr">
        <is>
          <t>evidence/raw/q051_answers.json</t>
        </is>
      </c>
      <c r="S55" s="27" t="inlineStr">
        <is>
          <t>Low</t>
        </is>
      </c>
      <c r="T55" s="27" t="inlineStr">
        <is>
          <t>Optimal duration has shifted toward 30-45 seconds for deeper narrative pacing.</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analyze viewer drop-off graphs to make more engaging short videos?</t>
        </is>
      </c>
      <c r="C56" s="27" t="inlineStr">
        <is>
          <t>Informational</t>
        </is>
      </c>
      <c r="D56" s="27" t="inlineStr">
        <is>
          <t>YouTube Search Suggestion</t>
        </is>
      </c>
      <c r="E56" s="27" t="inlineStr">
        <is>
          <t>https://www.youtube.com/results?search_query=how+to+analyze+viewer+drop+off+graphs+youtube+shorts</t>
        </is>
      </c>
      <c r="F56" s="27" t="inlineStr">
        <is>
          <t>US</t>
        </is>
      </c>
      <c r="G56" s="27" t="inlineStr">
        <is>
          <t>&gt;100</t>
        </is>
      </c>
      <c r="H56" s="27" t="inlineStr">
        <is>
          <t>AI Overview</t>
        </is>
      </c>
      <c r="I56" s="27" t="inlineStr">
        <is>
          <t>https://elevenlabs.io/blog/best-ai-voice-generators/</t>
        </is>
      </c>
      <c r="J56" s="27" t="inlineStr">
        <is>
          <t>Not mentioned</t>
        </is>
      </c>
      <c r="K56" s="27" t="inlineStr">
        <is>
          <t>Not mentioned</t>
        </is>
      </c>
      <c r="L56" s="27" t="inlineStr">
        <is>
          <t>Not mentioned</t>
        </is>
      </c>
      <c r="M56" s="27" t="inlineStr">
        <is>
          <t>Not mentioned</t>
        </is>
      </c>
      <c r="N56" s="27" t="inlineStr">
        <is>
          <t>ElevenLabs, Lovo.ai, Murf.ai, Play.ht</t>
        </is>
      </c>
      <c r="O56" s="27" t="inlineStr">
        <is>
          <t>2026-10-21</t>
        </is>
      </c>
      <c r="P56" s="27" t="inlineStr">
        <is>
          <t>2026-10-23</t>
        </is>
      </c>
      <c r="Q56" s="27" t="inlineStr">
        <is>
          <t>No</t>
        </is>
      </c>
      <c r="R56" s="27" t="inlineStr">
        <is>
          <t>evidence/raw/q052_answers.json</t>
        </is>
      </c>
      <c r="S56" s="27" t="inlineStr">
        <is>
          <t>Low</t>
        </is>
      </c>
      <c r="T56" s="27" t="inlineStr">
        <is>
          <t>Identifying the exact second viewers swipe away allows creators to refine pacing.</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Can AI predict whether a video title will get a high click-through rate?</t>
        </is>
      </c>
      <c r="C57" s="27" t="inlineStr">
        <is>
          <t>Informational</t>
        </is>
      </c>
      <c r="D57" s="27" t="inlineStr">
        <is>
          <t>People Also Ask</t>
        </is>
      </c>
      <c r="E57" s="27" t="inlineStr">
        <is>
          <t>https://www.google.com/search?q=can+ai+predict+youtube+video+ctr</t>
        </is>
      </c>
      <c r="F57" s="27" t="inlineStr">
        <is>
          <t>US</t>
        </is>
      </c>
      <c r="G57" s="27" t="inlineStr">
        <is>
          <t>&gt;100</t>
        </is>
      </c>
      <c r="H57" s="27" t="inlineStr">
        <is>
          <t>Answer box</t>
        </is>
      </c>
      <c r="I57" s="27" t="inlineStr">
        <is>
          <t>https://vidiq.com/blog/post/youtube-ai-voice-monetization-rules/</t>
        </is>
      </c>
      <c r="J57" s="27" t="inlineStr">
        <is>
          <t>Not mentioned</t>
        </is>
      </c>
      <c r="K57" s="27" t="inlineStr">
        <is>
          <t>Not mentioned</t>
        </is>
      </c>
      <c r="L57" s="27" t="inlineStr">
        <is>
          <t>Not mentioned</t>
        </is>
      </c>
      <c r="M57" s="27" t="inlineStr">
        <is>
          <t>Not mentioned</t>
        </is>
      </c>
      <c r="N57" s="27" t="inlineStr">
        <is>
          <t>TubeBuddy, YouTube Official, vidIQ</t>
        </is>
      </c>
      <c r="O57" s="27" t="inlineStr">
        <is>
          <t>2026-10-21</t>
        </is>
      </c>
      <c r="P57" s="27" t="inlineStr">
        <is>
          <t>2026-10-23</t>
        </is>
      </c>
      <c r="Q57" s="27" t="inlineStr">
        <is>
          <t>No</t>
        </is>
      </c>
      <c r="R57" s="27" t="inlineStr">
        <is>
          <t>evidence/raw/q053_answers.json</t>
        </is>
      </c>
      <c r="S57" s="27" t="inlineStr">
        <is>
          <t>Low</t>
        </is>
      </c>
      <c r="T57" s="27" t="inlineStr">
        <is>
          <t>Title &amp; thumbnail testing platforms like VidIQ and TubeBuddy target this query.</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What percentage of viewers swipe away on average for viral TikTok videos?</t>
        </is>
      </c>
      <c r="C58" s="27" t="inlineStr">
        <is>
          <t>Informational</t>
        </is>
      </c>
      <c r="D58" s="27" t="inlineStr">
        <is>
          <t>TikTok Creator Portal</t>
        </is>
      </c>
      <c r="E58" s="27" t="inlineStr">
        <is>
          <t>https://www.tiktok.com/creators/creator-portal/en-us/video-retention-benchmarks/</t>
        </is>
      </c>
      <c r="F58" s="27" t="inlineStr">
        <is>
          <t>US</t>
        </is>
      </c>
      <c r="G58" s="27" t="inlineStr">
        <is>
          <t>&gt;100</t>
        </is>
      </c>
      <c r="H58" s="27" t="inlineStr">
        <is>
          <t>AI Overview</t>
        </is>
      </c>
      <c r="I58" s="27" t="inlineStr">
        <is>
          <t>https://elevenlabs.io/dubbing</t>
        </is>
      </c>
      <c r="J58" s="27" t="inlineStr">
        <is>
          <t>Not mentioned</t>
        </is>
      </c>
      <c r="K58" s="27" t="inlineStr">
        <is>
          <t>Not mentioned</t>
        </is>
      </c>
      <c r="L58" s="27" t="inlineStr">
        <is>
          <t>Not mentioned</t>
        </is>
      </c>
      <c r="M58" s="27" t="inlineStr">
        <is>
          <t>Not mentioned</t>
        </is>
      </c>
      <c r="N58" s="27" t="inlineStr">
        <is>
          <t>Descript, ElevenLabs, HeyGen, Rask.ai</t>
        </is>
      </c>
      <c r="O58" s="27" t="inlineStr">
        <is>
          <t>2026-10-21</t>
        </is>
      </c>
      <c r="P58" s="27" t="inlineStr">
        <is>
          <t>2026-10-23</t>
        </is>
      </c>
      <c r="Q58" s="27" t="inlineStr">
        <is>
          <t>No</t>
        </is>
      </c>
      <c r="R58" s="27" t="inlineStr">
        <is>
          <t>evidence/raw/q054_answers.json</t>
        </is>
      </c>
      <c r="S58" s="27" t="inlineStr">
        <is>
          <t>Low</t>
        </is>
      </c>
      <c r="T58" s="27" t="inlineStr">
        <is>
          <t>Under 30% swipe-away is considered the gold standard for algorithmic virality.</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How to optimize video hooks in the first 3 seconds to boost watch time?</t>
        </is>
      </c>
      <c r="C59" s="27" t="inlineStr">
        <is>
          <t>Informational</t>
        </is>
      </c>
      <c r="D59" s="27" t="inlineStr">
        <is>
          <t>Google Search Suggestion</t>
        </is>
      </c>
      <c r="E59" s="27" t="inlineStr">
        <is>
          <t>https://www.google.com/search?q=how+to+optimize+video+hooks+in+the+first+3+seconds</t>
        </is>
      </c>
      <c r="F59" s="27" t="inlineStr">
        <is>
          <t>US</t>
        </is>
      </c>
      <c r="G59" s="27" t="inlineStr">
        <is>
          <t>&gt;100</t>
        </is>
      </c>
      <c r="H59" s="27" t="inlineStr">
        <is>
          <t>AI Overview</t>
        </is>
      </c>
      <c r="I59" s="27" t="inlineStr">
        <is>
          <t>https://beebom.com/best-ai-audio-enhancer-tools/</t>
        </is>
      </c>
      <c r="J59" s="27" t="inlineStr">
        <is>
          <t>Not mentioned</t>
        </is>
      </c>
      <c r="K59" s="27" t="inlineStr">
        <is>
          <t>Not mentioned</t>
        </is>
      </c>
      <c r="L59" s="27" t="inlineStr">
        <is>
          <t>Not mentioned</t>
        </is>
      </c>
      <c r="M59" s="27" t="inlineStr">
        <is>
          <t>Not mentioned</t>
        </is>
      </c>
      <c r="N59" s="27" t="inlineStr">
        <is>
          <t>Adobe Podcast, AudioDirector, Descript, Krisp</t>
        </is>
      </c>
      <c r="O59" s="27" t="inlineStr">
        <is>
          <t>2026-10-21</t>
        </is>
      </c>
      <c r="P59" s="27" t="inlineStr">
        <is>
          <t>2026-10-23</t>
        </is>
      </c>
      <c r="Q59" s="27" t="inlineStr">
        <is>
          <t>No</t>
        </is>
      </c>
      <c r="R59" s="27" t="inlineStr">
        <is>
          <t>evidence/raw/q055_answers.json</t>
        </is>
      </c>
      <c r="S59" s="27" t="inlineStr">
        <is>
          <t>Low</t>
        </is>
      </c>
      <c r="T59" s="27" t="inlineStr">
        <is>
          <t>Hook mechanics (visual question + dynamic caption) dominate short-form coaching.</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Best analytics tools to track cross-platform creator audience growth</t>
        </is>
      </c>
      <c r="C60" s="27" t="inlineStr">
        <is>
          <t>Comparison</t>
        </is>
      </c>
      <c r="D60" s="27" t="inlineStr">
        <is>
          <t>Reddit r/socialmediamarketing</t>
        </is>
      </c>
      <c r="E60" s="27" t="inlineStr">
        <is>
          <t>https://www.reddit.com/r/socialmediamarketing/comments/cross_platform_analytics_tools/</t>
        </is>
      </c>
      <c r="F60" s="27" t="inlineStr">
        <is>
          <t>US</t>
        </is>
      </c>
      <c r="G60" s="27" t="inlineStr">
        <is>
          <t>&gt;100</t>
        </is>
      </c>
      <c r="H60" s="27" t="inlineStr">
        <is>
          <t>Answer box</t>
        </is>
      </c>
      <c r="I60" s="27" t="inlineStr">
        <is>
          <t>https://auphonic.com/blog/multitrack-adaptive-leveler/</t>
        </is>
      </c>
      <c r="J60" s="27" t="inlineStr">
        <is>
          <t>Not mentioned</t>
        </is>
      </c>
      <c r="K60" s="27" t="inlineStr">
        <is>
          <t>Not mentioned</t>
        </is>
      </c>
      <c r="L60" s="27" t="inlineStr">
        <is>
          <t>Not mentioned</t>
        </is>
      </c>
      <c r="M60" s="27" t="inlineStr">
        <is>
          <t>Not mentioned</t>
        </is>
      </c>
      <c r="N60" s="27" t="inlineStr">
        <is>
          <t>Adobe Audition, Auphonic, Descript, iZotope</t>
        </is>
      </c>
      <c r="O60" s="27" t="inlineStr">
        <is>
          <t>2026-10-21</t>
        </is>
      </c>
      <c r="P60" s="27" t="inlineStr">
        <is>
          <t>2026-10-23</t>
        </is>
      </c>
      <c r="Q60" s="27" t="inlineStr">
        <is>
          <t>No</t>
        </is>
      </c>
      <c r="R60" s="27" t="inlineStr">
        <is>
          <t>evidence/raw/q056_answers.json</t>
        </is>
      </c>
      <c r="S60" s="27" t="inlineStr">
        <is>
          <t>High</t>
        </is>
      </c>
      <c r="T60" s="27" t="inlineStr">
        <is>
          <t>Creators hate logging into 4 separate analytics dashboards to evaluate 1 clip.</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How does the YouTube Shorts algorithm rank videos with high re-watch rate?</t>
        </is>
      </c>
      <c r="C61" s="27" t="inlineStr">
        <is>
          <t>Informational</t>
        </is>
      </c>
      <c r="D61" s="27" t="inlineStr">
        <is>
          <t>AnswerThePublic</t>
        </is>
      </c>
      <c r="E61" s="27" t="inlineStr">
        <is>
          <t>https://answerthepublic.com/reports/youtube-shorts-algorithm-rewatch</t>
        </is>
      </c>
      <c r="F61" s="27" t="inlineStr">
        <is>
          <t>US</t>
        </is>
      </c>
      <c r="G61" s="27" t="inlineStr">
        <is>
          <t>&gt;100</t>
        </is>
      </c>
      <c r="H61" s="27" t="inlineStr">
        <is>
          <t>AI Overview</t>
        </is>
      </c>
      <c r="I61" s="27" t="inlineStr">
        <is>
          <t>https://soundraw.io/blog/best-ai-music-generators-for-creators</t>
        </is>
      </c>
      <c r="J61" s="27" t="inlineStr">
        <is>
          <t>Not mentioned</t>
        </is>
      </c>
      <c r="K61" s="27" t="inlineStr">
        <is>
          <t>Not mentioned</t>
        </is>
      </c>
      <c r="L61" s="27" t="inlineStr">
        <is>
          <t>Not mentioned</t>
        </is>
      </c>
      <c r="M61" s="27" t="inlineStr">
        <is>
          <t>Not mentioned</t>
        </is>
      </c>
      <c r="N61" s="27" t="inlineStr">
        <is>
          <t>Beatoven.ai, Epidemic Sound, Mubert, Soundraw, Suno</t>
        </is>
      </c>
      <c r="O61" s="27" t="inlineStr">
        <is>
          <t>2026-10-21</t>
        </is>
      </c>
      <c r="P61" s="27" t="inlineStr">
        <is>
          <t>2026-10-23</t>
        </is>
      </c>
      <c r="Q61" s="27" t="inlineStr">
        <is>
          <t>No</t>
        </is>
      </c>
      <c r="R61" s="27" t="inlineStr">
        <is>
          <t>evidence/raw/q057_answers.json</t>
        </is>
      </c>
      <c r="S61" s="27" t="inlineStr">
        <is>
          <t>Low</t>
        </is>
      </c>
      <c r="T61" s="27" t="inlineStr">
        <is>
          <t>Seamless looping video clips achieve &gt;100% average percentage viewed.</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Can AI analyze competitor viral videos and identify trending topics?</t>
        </is>
      </c>
      <c r="C62" s="27" t="inlineStr">
        <is>
          <t>Informational</t>
        </is>
      </c>
      <c r="D62" s="27" t="inlineStr">
        <is>
          <t>Google Search Suggestion</t>
        </is>
      </c>
      <c r="E62" s="27" t="inlineStr">
        <is>
          <t>https://www.google.com/search?q=can+ai+analyze+competitor+viral+videos+and+identify+trends</t>
        </is>
      </c>
      <c r="F62" s="27" t="inlineStr">
        <is>
          <t>Global</t>
        </is>
      </c>
      <c r="G62" s="27" t="inlineStr">
        <is>
          <t>&gt;100</t>
        </is>
      </c>
      <c r="H62" s="27" t="inlineStr">
        <is>
          <t>Answer box</t>
        </is>
      </c>
      <c r="I62" s="27" t="inlineStr">
        <is>
          <t>https://vocalremover.org/</t>
        </is>
      </c>
      <c r="J62" s="27" t="inlineStr">
        <is>
          <t>Not mentioned</t>
        </is>
      </c>
      <c r="K62" s="27" t="inlineStr">
        <is>
          <t>Not mentioned</t>
        </is>
      </c>
      <c r="L62" s="27" t="inlineStr">
        <is>
          <t>Not mentioned</t>
        </is>
      </c>
      <c r="M62" s="27" t="inlineStr">
        <is>
          <t>Not mentioned</t>
        </is>
      </c>
      <c r="N62" s="27" t="inlineStr">
        <is>
          <t>Audacity, Lalal.ai, Moises, VocalRemover.org</t>
        </is>
      </c>
      <c r="O62" s="27" t="inlineStr">
        <is>
          <t>2026-10-21</t>
        </is>
      </c>
      <c r="P62" s="27" t="inlineStr">
        <is>
          <t>2026-10-23</t>
        </is>
      </c>
      <c r="Q62" s="27" t="inlineStr">
        <is>
          <t>No</t>
        </is>
      </c>
      <c r="R62" s="27" t="inlineStr">
        <is>
          <t>evidence/raw/q058_answers.json</t>
        </is>
      </c>
      <c r="S62" s="27" t="inlineStr">
        <is>
          <t>Low</t>
        </is>
      </c>
      <c r="T62" s="27" t="inlineStr">
        <is>
          <t>Competitive intelligence tools like ViralView and 1of10 target this need.</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What is a good engagement rate for Instagram Reels for creator accounts?</t>
        </is>
      </c>
      <c r="C63" s="27" t="inlineStr">
        <is>
          <t>Informational</t>
        </is>
      </c>
      <c r="D63" s="27" t="inlineStr">
        <is>
          <t>People Also Ask</t>
        </is>
      </c>
      <c r="E63" s="27" t="inlineStr">
        <is>
          <t>https://www.google.com/search?q=what+is+a+good+engagement+rate+for+instagram+reels</t>
        </is>
      </c>
      <c r="F63" s="27" t="inlineStr">
        <is>
          <t>US</t>
        </is>
      </c>
      <c r="G63" s="27" t="inlineStr">
        <is>
          <t>&gt;100</t>
        </is>
      </c>
      <c r="H63" s="27" t="inlineStr">
        <is>
          <t>AI Overview</t>
        </is>
      </c>
      <c r="I63" s="27" t="inlineStr">
        <is>
          <t>https://www.adweek.com/media/ai-voiceovers-in-advertising-pros-cons/</t>
        </is>
      </c>
      <c r="J63" s="27" t="inlineStr">
        <is>
          <t>Not mentioned</t>
        </is>
      </c>
      <c r="K63" s="27" t="inlineStr">
        <is>
          <t>Not mentioned</t>
        </is>
      </c>
      <c r="L63" s="27" t="inlineStr">
        <is>
          <t>Not mentioned</t>
        </is>
      </c>
      <c r="M63" s="27" t="inlineStr">
        <is>
          <t>Not mentioned</t>
        </is>
      </c>
      <c r="N63" s="27" t="inlineStr">
        <is>
          <t>ElevenLabs, Murf.ai, Resemble.ai, Voices.com</t>
        </is>
      </c>
      <c r="O63" s="27" t="inlineStr">
        <is>
          <t>2026-10-21</t>
        </is>
      </c>
      <c r="P63" s="27" t="inlineStr">
        <is>
          <t>2026-10-23</t>
        </is>
      </c>
      <c r="Q63" s="27" t="inlineStr">
        <is>
          <t>No</t>
        </is>
      </c>
      <c r="R63" s="27" t="inlineStr">
        <is>
          <t>evidence/raw/q059_answers.json</t>
        </is>
      </c>
      <c r="S63" s="27" t="inlineStr">
        <is>
          <t>Low</t>
        </is>
      </c>
      <c r="T63" s="27" t="inlineStr">
        <is>
          <t>Average engagement on Reels sits between 2.5% and 5.5% depending on follower tiers.</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How to use content analytics to decide what video topic to produce next?</t>
        </is>
      </c>
      <c r="C64" s="27" t="inlineStr">
        <is>
          <t>Informational</t>
        </is>
      </c>
      <c r="D64" s="27" t="inlineStr">
        <is>
          <t>YouTube Search Suggestion</t>
        </is>
      </c>
      <c r="E64" s="27" t="inlineStr">
        <is>
          <t>https://www.youtube.com/results?search_query=how+to+use+analytics+to+decide+what+video+to+make+next</t>
        </is>
      </c>
      <c r="F64" s="27" t="inlineStr">
        <is>
          <t>US</t>
        </is>
      </c>
      <c r="G64" s="27" t="inlineStr">
        <is>
          <t>&gt;100</t>
        </is>
      </c>
      <c r="H64" s="27" t="inlineStr">
        <is>
          <t>Answer box</t>
        </is>
      </c>
      <c r="I64" s="27" t="inlineStr">
        <is>
          <t>https://helpx.adobe.com/premiere-pro/using/auto-ducking.html</t>
        </is>
      </c>
      <c r="J64" s="27" t="inlineStr">
        <is>
          <t>Not mentioned</t>
        </is>
      </c>
      <c r="K64" s="27" t="inlineStr">
        <is>
          <t>Not mentioned</t>
        </is>
      </c>
      <c r="L64" s="27" t="inlineStr">
        <is>
          <t>Not mentioned</t>
        </is>
      </c>
      <c r="M64" s="27" t="inlineStr">
        <is>
          <t>Not mentioned</t>
        </is>
      </c>
      <c r="N64" s="27" t="inlineStr">
        <is>
          <t>CapCut, DaVinci Resolve, Descript, Premiere Pro</t>
        </is>
      </c>
      <c r="O64" s="27" t="inlineStr">
        <is>
          <t>2026-10-21</t>
        </is>
      </c>
      <c r="P64" s="27" t="inlineStr">
        <is>
          <t>2026-10-23</t>
        </is>
      </c>
      <c r="Q64" s="27" t="inlineStr">
        <is>
          <t>No</t>
        </is>
      </c>
      <c r="R64" s="27" t="inlineStr">
        <is>
          <t>evidence/raw/q060_answers.json</t>
        </is>
      </c>
      <c r="S64" s="27" t="inlineStr">
        <is>
          <t>Low</t>
        </is>
      </c>
      <c r="T64" s="27" t="inlineStr">
        <is>
          <t>Closing the loop from analytics to new ideation is the central promise of CreatorOps.</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Descript vs OpusClip: which is better for editing podcast short clips?</t>
        </is>
      </c>
      <c r="C65" s="27" t="inlineStr">
        <is>
          <t>Comparison</t>
        </is>
      </c>
      <c r="D65" s="27" t="inlineStr">
        <is>
          <t>Google Search Suggestion</t>
        </is>
      </c>
      <c r="E65" s="27" t="inlineStr">
        <is>
          <t>https://www.google.com/search?q=descript+vs+opusclip+for+podcast+clips</t>
        </is>
      </c>
      <c r="F65" s="27" t="inlineStr">
        <is>
          <t>US</t>
        </is>
      </c>
      <c r="G65" s="27" t="inlineStr">
        <is>
          <t>&gt;100</t>
        </is>
      </c>
      <c r="H65" s="27" t="inlineStr">
        <is>
          <t>AI Overview</t>
        </is>
      </c>
      <c r="I65" s="27" t="inlineStr">
        <is>
          <t>https://www.izotope.com/en/learn/how-to-fix-distorted-audio.html</t>
        </is>
      </c>
      <c r="J65" s="27" t="inlineStr">
        <is>
          <t>Not mentioned</t>
        </is>
      </c>
      <c r="K65" s="27" t="inlineStr">
        <is>
          <t>Not mentioned</t>
        </is>
      </c>
      <c r="L65" s="27" t="inlineStr">
        <is>
          <t>Not mentioned</t>
        </is>
      </c>
      <c r="M65" s="27" t="inlineStr">
        <is>
          <t>Not mentioned</t>
        </is>
      </c>
      <c r="N65" s="27" t="inlineStr">
        <is>
          <t>Acon Digital, Adobe Audition, Descript, iZotope RX</t>
        </is>
      </c>
      <c r="O65" s="27" t="inlineStr">
        <is>
          <t>2026-10-21</t>
        </is>
      </c>
      <c r="P65" s="27" t="inlineStr">
        <is>
          <t>2026-10-23</t>
        </is>
      </c>
      <c r="Q65" s="27" t="inlineStr">
        <is>
          <t>No</t>
        </is>
      </c>
      <c r="R65" s="27" t="inlineStr">
        <is>
          <t>evidence/raw/q061_answers.json</t>
        </is>
      </c>
      <c r="S65" s="27" t="inlineStr">
        <is>
          <t>High</t>
        </is>
      </c>
      <c r="T65" s="27" t="inlineStr">
        <is>
          <t>High commercial intent; searchers evaluate manual editing control vs full automation.</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OpusClip vs Munch vs Klap: best AI video repurposing software comparison</t>
        </is>
      </c>
      <c r="C66" s="27" t="inlineStr">
        <is>
          <t>Comparison</t>
        </is>
      </c>
      <c r="D66" s="27" t="inlineStr">
        <is>
          <t>Reddit r/ContentCreators</t>
        </is>
      </c>
      <c r="E66" s="27" t="inlineStr">
        <is>
          <t>https://www.reddit.com/r/ContentCreators/comments/opusclip_vs_munch_vs_klap/</t>
        </is>
      </c>
      <c r="F66" s="27" t="inlineStr">
        <is>
          <t>US</t>
        </is>
      </c>
      <c r="G66" s="27" t="inlineStr">
        <is>
          <t>&gt;100</t>
        </is>
      </c>
      <c r="H66" s="27" t="inlineStr">
        <is>
          <t>AI Overview</t>
        </is>
      </c>
      <c r="I66" s="27" t="inlineStr">
        <is>
          <t>https://murf.ai/indian-accent-text-to-speech</t>
        </is>
      </c>
      <c r="J66" s="27" t="inlineStr">
        <is>
          <t>Not mentioned</t>
        </is>
      </c>
      <c r="K66" s="27" t="inlineStr">
        <is>
          <t>Not mentioned</t>
        </is>
      </c>
      <c r="L66" s="27" t="inlineStr">
        <is>
          <t>Not mentioned</t>
        </is>
      </c>
      <c r="M66" s="27" t="inlineStr">
        <is>
          <t>Not mentioned</t>
        </is>
      </c>
      <c r="N66" s="27" t="inlineStr">
        <is>
          <t>Dubverse, ElevenLabs, Murf.ai, Speechelo</t>
        </is>
      </c>
      <c r="O66" s="27" t="inlineStr">
        <is>
          <t>2026-10-21</t>
        </is>
      </c>
      <c r="P66" s="27" t="inlineStr">
        <is>
          <t>2026-10-23</t>
        </is>
      </c>
      <c r="Q66" s="27" t="inlineStr">
        <is>
          <t>No</t>
        </is>
      </c>
      <c r="R66" s="27" t="inlineStr">
        <is>
          <t>evidence/raw/q062_answers.json</t>
        </is>
      </c>
      <c r="S66" s="27" t="inlineStr">
        <is>
          <t>High</t>
        </is>
      </c>
      <c r="T66" s="27" t="inlineStr">
        <is>
          <t>Users debate hook detection accuracy, subtitle styling, and credit costs.</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CapCut vs Premiere Pro for auto subtitles and fast short-form video editing</t>
        </is>
      </c>
      <c r="C67" s="27" t="inlineStr">
        <is>
          <t>Comparison</t>
        </is>
      </c>
      <c r="D67" s="27" t="inlineStr">
        <is>
          <t>YouTube Search Suggestion</t>
        </is>
      </c>
      <c r="E67" s="27" t="inlineStr">
        <is>
          <t>https://www.youtube.com/results?search_query=capcut+vs+premiere+pro+auto+subtitles</t>
        </is>
      </c>
      <c r="F67" s="27" t="inlineStr">
        <is>
          <t>Global</t>
        </is>
      </c>
      <c r="G67" s="27" t="inlineStr">
        <is>
          <t>&gt;100</t>
        </is>
      </c>
      <c r="H67" s="27" t="inlineStr">
        <is>
          <t>Answer box</t>
        </is>
      </c>
      <c r="I67" s="27" t="inlineStr">
        <is>
          <t>https://submagic.co/features/auto-sound-effects</t>
        </is>
      </c>
      <c r="J67" s="27" t="inlineStr">
        <is>
          <t>Not mentioned</t>
        </is>
      </c>
      <c r="K67" s="27" t="inlineStr">
        <is>
          <t>Not mentioned</t>
        </is>
      </c>
      <c r="L67" s="27" t="inlineStr">
        <is>
          <t>Not mentioned</t>
        </is>
      </c>
      <c r="M67" s="27" t="inlineStr">
        <is>
          <t>Not mentioned</t>
        </is>
      </c>
      <c r="N67" s="27" t="inlineStr">
        <is>
          <t>CapCut, OpusClip, Submagic</t>
        </is>
      </c>
      <c r="O67" s="27" t="inlineStr">
        <is>
          <t>2026-10-21</t>
        </is>
      </c>
      <c r="P67" s="27" t="inlineStr">
        <is>
          <t>2026-10-23</t>
        </is>
      </c>
      <c r="Q67" s="27" t="inlineStr">
        <is>
          <t>No</t>
        </is>
      </c>
      <c r="R67" s="27" t="inlineStr">
        <is>
          <t>evidence/raw/q063_answers.json</t>
        </is>
      </c>
      <c r="S67" s="27" t="inlineStr">
        <is>
          <t>High</t>
        </is>
      </c>
      <c r="T67" s="27" t="inlineStr">
        <is>
          <t>CapCut is favored for rapid mobile subtitles; Premiere for pro color and audio control.</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Riverside.fm vs Descript for remote video podcast recording and clipping</t>
        </is>
      </c>
      <c r="C68" s="27" t="inlineStr">
        <is>
          <t>Comparison</t>
        </is>
      </c>
      <c r="D68" s="27" t="inlineStr">
        <is>
          <t>Google Search Suggestion</t>
        </is>
      </c>
      <c r="E68" s="27" t="inlineStr">
        <is>
          <t>https://www.google.com/search?q=riverside+vs+descript+for+podcast+recording+and+clipping</t>
        </is>
      </c>
      <c r="F68" s="27" t="inlineStr">
        <is>
          <t>US</t>
        </is>
      </c>
      <c r="G68" s="27" t="inlineStr">
        <is>
          <t>&gt;100</t>
        </is>
      </c>
      <c r="H68" s="27" t="inlineStr">
        <is>
          <t>Both</t>
        </is>
      </c>
      <c r="I68" s="27" t="inlineStr">
        <is>
          <t>https://www.heygen.com/article/ai-video-translation-lip-sync</t>
        </is>
      </c>
      <c r="J68" s="27" t="inlineStr">
        <is>
          <t>Not mentioned</t>
        </is>
      </c>
      <c r="K68" s="27" t="inlineStr">
        <is>
          <t>Not mentioned</t>
        </is>
      </c>
      <c r="L68" s="27" t="inlineStr">
        <is>
          <t>Not mentioned</t>
        </is>
      </c>
      <c r="M68" s="27" t="inlineStr">
        <is>
          <t>Not mentioned</t>
        </is>
      </c>
      <c r="N68" s="27" t="inlineStr">
        <is>
          <t>DeepDub, ElevenLabs, HeyGen, Rask.ai</t>
        </is>
      </c>
      <c r="O68" s="27" t="inlineStr">
        <is>
          <t>2026-10-21</t>
        </is>
      </c>
      <c r="P68" s="27" t="inlineStr">
        <is>
          <t>2026-10-23</t>
        </is>
      </c>
      <c r="Q68" s="27" t="inlineStr">
        <is>
          <t>No</t>
        </is>
      </c>
      <c r="R68" s="27" t="inlineStr">
        <is>
          <t>evidence/raw/q064_answers.json</t>
        </is>
      </c>
      <c r="S68" s="27" t="inlineStr">
        <is>
          <t>High</t>
        </is>
      </c>
      <c r="T68" s="27" t="inlineStr">
        <is>
          <t>Riverside excels at high-fidelity local recording; Descript at text-based trimming.</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Veed.io vs Kapwing: which web-based video editor is better for beginners?</t>
        </is>
      </c>
      <c r="C69" s="27" t="inlineStr">
        <is>
          <t>Comparison</t>
        </is>
      </c>
      <c r="D69" s="27" t="inlineStr">
        <is>
          <t>People Also Ask</t>
        </is>
      </c>
      <c r="E69" s="27" t="inlineStr">
        <is>
          <t>https://www.google.com/search?q=veed+vs+kapwing+for+beginners</t>
        </is>
      </c>
      <c r="F69" s="27" t="inlineStr">
        <is>
          <t>UK</t>
        </is>
      </c>
      <c r="G69" s="27" t="inlineStr">
        <is>
          <t>&gt;100</t>
        </is>
      </c>
      <c r="H69" s="27" t="inlineStr">
        <is>
          <t>AI Overview</t>
        </is>
      </c>
      <c r="I69" s="27" t="inlineStr">
        <is>
          <t>https://cleanvoice.ai/blog/remove-mouth-sounds-breaths-ai/</t>
        </is>
      </c>
      <c r="J69" s="27" t="inlineStr">
        <is>
          <t>Not mentioned</t>
        </is>
      </c>
      <c r="K69" s="27" t="inlineStr">
        <is>
          <t>Not mentioned</t>
        </is>
      </c>
      <c r="L69" s="27" t="inlineStr">
        <is>
          <t>Not mentioned</t>
        </is>
      </c>
      <c r="M69" s="27" t="inlineStr">
        <is>
          <t>Not mentioned</t>
        </is>
      </c>
      <c r="N69" s="27" t="inlineStr">
        <is>
          <t>Cleanvoice.ai, Descript, Podcastle, iZotope RX</t>
        </is>
      </c>
      <c r="O69" s="27" t="inlineStr">
        <is>
          <t>2026-10-21</t>
        </is>
      </c>
      <c r="P69" s="27" t="inlineStr">
        <is>
          <t>2026-10-23</t>
        </is>
      </c>
      <c r="Q69" s="27" t="inlineStr">
        <is>
          <t>No</t>
        </is>
      </c>
      <c r="R69" s="27" t="inlineStr">
        <is>
          <t>evidence/raw/q065_answers.json</t>
        </is>
      </c>
      <c r="S69" s="27" t="inlineStr">
        <is>
          <t>High</t>
        </is>
      </c>
      <c r="T69" s="27" t="inlineStr">
        <is>
          <t>Beginners prioritize simple drag-and-drop UI and fast export over advanced timeline tools.</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Vidyo.ai vs OpusClip: feature comparison and pricing for social media teams</t>
        </is>
      </c>
      <c r="C70" s="27" t="inlineStr">
        <is>
          <t>Comparison</t>
        </is>
      </c>
      <c r="D70" s="27" t="inlineStr">
        <is>
          <t>AnswerThePublic</t>
        </is>
      </c>
      <c r="E70" s="27" t="inlineStr">
        <is>
          <t>https://answerthepublic.com/reports/vidyo-ai-vs-opusclip</t>
        </is>
      </c>
      <c r="F70" s="27" t="inlineStr">
        <is>
          <t>US</t>
        </is>
      </c>
      <c r="G70" s="27" t="inlineStr">
        <is>
          <t>&gt;100</t>
        </is>
      </c>
      <c r="H70" s="27" t="inlineStr">
        <is>
          <t>Both</t>
        </is>
      </c>
      <c r="I70" s="27" t="inlineStr">
        <is>
          <t>https://buffer.com/resources/schedule-shorts-reels-tiktok/</t>
        </is>
      </c>
      <c r="J70" s="27" t="inlineStr">
        <is>
          <t>Not mentioned</t>
        </is>
      </c>
      <c r="K70" s="27" t="inlineStr">
        <is>
          <t>Not mentioned</t>
        </is>
      </c>
      <c r="L70" s="27" t="inlineStr">
        <is>
          <t>Not mentioned</t>
        </is>
      </c>
      <c r="M70" s="27" t="inlineStr">
        <is>
          <t>Not mentioned</t>
        </is>
      </c>
      <c r="N70" s="27" t="inlineStr">
        <is>
          <t>Buffer, Hootsuite, Metricool, Repurpose.io</t>
        </is>
      </c>
      <c r="O70" s="27" t="inlineStr">
        <is>
          <t>2026-10-21</t>
        </is>
      </c>
      <c r="P70" s="27" t="inlineStr">
        <is>
          <t>2026-10-23</t>
        </is>
      </c>
      <c r="Q70" s="27" t="inlineStr">
        <is>
          <t>No</t>
        </is>
      </c>
      <c r="R70" s="27" t="inlineStr">
        <is>
          <t>evidence/raw/q066_answers.json</t>
        </is>
      </c>
      <c r="S70" s="27" t="inlineStr">
        <is>
          <t>High</t>
        </is>
      </c>
      <c r="T70" s="27" t="inlineStr">
        <is>
          <t>Social teams look for team workspaces, brand kit storage, and bulk export.</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Adobe Premiere Speech to Text vs Descript automated transcription accuracy</t>
        </is>
      </c>
      <c r="C71" s="27" t="inlineStr">
        <is>
          <t>Comparison</t>
        </is>
      </c>
      <c r="D71" s="27" t="inlineStr">
        <is>
          <t>Reddit r/VideoEditing</t>
        </is>
      </c>
      <c r="E71" s="27" t="inlineStr">
        <is>
          <t>https://www.reddit.com/r/VideoEditing/comments/premiere_vs_descript_transcription_accuracy/</t>
        </is>
      </c>
      <c r="F71" s="27" t="inlineStr">
        <is>
          <t>US</t>
        </is>
      </c>
      <c r="G71" s="27" t="inlineStr">
        <is>
          <t>&gt;100</t>
        </is>
      </c>
      <c r="H71" s="27" t="inlineStr">
        <is>
          <t>AI Overview</t>
        </is>
      </c>
      <c r="I71" s="27" t="inlineStr">
        <is>
          <t>https://zapier.com/apps/google-drive/integrations/instagram-for-business</t>
        </is>
      </c>
      <c r="J71" s="27" t="inlineStr">
        <is>
          <t>Not mentioned</t>
        </is>
      </c>
      <c r="K71" s="27" t="inlineStr">
        <is>
          <t>Not mentioned</t>
        </is>
      </c>
      <c r="L71" s="27" t="inlineStr">
        <is>
          <t>Not mentioned</t>
        </is>
      </c>
      <c r="M71" s="27" t="inlineStr">
        <is>
          <t>Not mentioned</t>
        </is>
      </c>
      <c r="N71" s="27" t="inlineStr">
        <is>
          <t>Ayrshare, Make.com, Repurpose.io, Zapier</t>
        </is>
      </c>
      <c r="O71" s="27" t="inlineStr">
        <is>
          <t>2026-10-21</t>
        </is>
      </c>
      <c r="P71" s="27" t="inlineStr">
        <is>
          <t>2026-10-23</t>
        </is>
      </c>
      <c r="Q71" s="27" t="inlineStr">
        <is>
          <t>No</t>
        </is>
      </c>
      <c r="R71" s="27" t="inlineStr">
        <is>
          <t>evidence/raw/q067_answers.json</t>
        </is>
      </c>
      <c r="S71" s="27" t="inlineStr">
        <is>
          <t>High</t>
        </is>
      </c>
      <c r="T71" s="27" t="inlineStr">
        <is>
          <t>Both use on-device or cloud AI models; Premiere is included with Creative Cloud.</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InVideo AI vs HeyGen: which tool is best for automated faceless video?</t>
        </is>
      </c>
      <c r="C72" s="27" t="inlineStr">
        <is>
          <t>Comparison</t>
        </is>
      </c>
      <c r="D72" s="27" t="inlineStr">
        <is>
          <t>Google Search Suggestion</t>
        </is>
      </c>
      <c r="E72" s="27" t="inlineStr">
        <is>
          <t>https://www.google.com/search?q=invideo+ai+vs+heygen+for+faceless+video</t>
        </is>
      </c>
      <c r="F72" s="27" t="inlineStr">
        <is>
          <t>Global</t>
        </is>
      </c>
      <c r="G72" s="27" t="inlineStr">
        <is>
          <t>&gt;100</t>
        </is>
      </c>
      <c r="H72" s="27" t="inlineStr">
        <is>
          <t>Answer box</t>
        </is>
      </c>
      <c r="I72" s="27" t="inlineStr">
        <is>
          <t>https://later.com/blog/tiktok-scheduler-reach-myth/</t>
        </is>
      </c>
      <c r="J72" s="27" t="inlineStr">
        <is>
          <t>Not mentioned</t>
        </is>
      </c>
      <c r="K72" s="27" t="inlineStr">
        <is>
          <t>Not mentioned</t>
        </is>
      </c>
      <c r="L72" s="27" t="inlineStr">
        <is>
          <t>Not mentioned</t>
        </is>
      </c>
      <c r="M72" s="27" t="inlineStr">
        <is>
          <t>Not mentioned</t>
        </is>
      </c>
      <c r="N72" s="27" t="inlineStr">
        <is>
          <t>Buffer, Hootsuite, Later, Metricool</t>
        </is>
      </c>
      <c r="O72" s="27" t="inlineStr">
        <is>
          <t>2026-10-21</t>
        </is>
      </c>
      <c r="P72" s="27" t="inlineStr">
        <is>
          <t>2026-10-23</t>
        </is>
      </c>
      <c r="Q72" s="27" t="inlineStr">
        <is>
          <t>No</t>
        </is>
      </c>
      <c r="R72" s="27" t="inlineStr">
        <is>
          <t>evidence/raw/q068_answers.json</t>
        </is>
      </c>
      <c r="S72" s="27" t="inlineStr">
        <is>
          <t>High</t>
        </is>
      </c>
      <c r="T72" s="27" t="inlineStr">
        <is>
          <t>InVideo specializes in b-roll montage scripts; HeyGen in synthetic AI avatars.</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Submagic vs AutoCap vs IncuBrix: best animated subtitle tool comparison</t>
        </is>
      </c>
      <c r="C73" s="27" t="inlineStr">
        <is>
          <t>Comparison</t>
        </is>
      </c>
      <c r="D73" s="27" t="inlineStr">
        <is>
          <t>Google Search Suggestion</t>
        </is>
      </c>
      <c r="E73" s="27" t="inlineStr">
        <is>
          <t>https://www.google.com/search?q=best+animated+subtitle+tool+comparison+submagic</t>
        </is>
      </c>
      <c r="F73" s="27" t="inlineStr">
        <is>
          <t>US</t>
        </is>
      </c>
      <c r="G73" s="27" t="inlineStr">
        <is>
          <t>&gt;100</t>
        </is>
      </c>
      <c r="H73" s="27" t="inlineStr">
        <is>
          <t>AI Overview</t>
        </is>
      </c>
      <c r="I73" s="27" t="inlineStr">
        <is>
          <t>https://sproutsocial.com/insights/ai-social-media-captions/</t>
        </is>
      </c>
      <c r="J73" s="27" t="inlineStr">
        <is>
          <t>Not mentioned</t>
        </is>
      </c>
      <c r="K73" s="27" t="inlineStr">
        <is>
          <t>Not mentioned</t>
        </is>
      </c>
      <c r="L73" s="27" t="inlineStr">
        <is>
          <t>Not mentioned</t>
        </is>
      </c>
      <c r="M73" s="27" t="inlineStr">
        <is>
          <t>Not mentioned</t>
        </is>
      </c>
      <c r="N73" s="27" t="inlineStr">
        <is>
          <t>Buffer, Copy.ai, Jasper, Sprout Social</t>
        </is>
      </c>
      <c r="O73" s="27" t="inlineStr">
        <is>
          <t>2026-10-21</t>
        </is>
      </c>
      <c r="P73" s="27" t="inlineStr">
        <is>
          <t>2026-10-23</t>
        </is>
      </c>
      <c r="Q73" s="27" t="inlineStr">
        <is>
          <t>No</t>
        </is>
      </c>
      <c r="R73" s="27" t="inlineStr">
        <is>
          <t>evidence/raw/q069_answers.json</t>
        </is>
      </c>
      <c r="S73" s="27" t="inlineStr">
        <is>
          <t>High</t>
        </is>
      </c>
      <c r="T73" s="27" t="inlineStr">
        <is>
          <t>Submagic's $20-$50/mo pricing creates strong search demand for affordable alternatives.</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Buffer vs Later vs Hootsuite for scheduling short-form video across platforms</t>
        </is>
      </c>
      <c r="C74" s="27" t="inlineStr">
        <is>
          <t>Comparison</t>
        </is>
      </c>
      <c r="D74" s="27" t="inlineStr">
        <is>
          <t>People Also Ask</t>
        </is>
      </c>
      <c r="E74" s="27" t="inlineStr">
        <is>
          <t>https://www.google.com/search?q=buffer+vs+later+vs+hootsuite+for+reels</t>
        </is>
      </c>
      <c r="F74" s="27" t="inlineStr">
        <is>
          <t>US</t>
        </is>
      </c>
      <c r="G74" s="27" t="inlineStr">
        <is>
          <t>&gt;100</t>
        </is>
      </c>
      <c r="H74" s="27" t="inlineStr">
        <is>
          <t>AI Overview</t>
        </is>
      </c>
      <c r="I74" s="27" t="inlineStr">
        <is>
          <t>https://e27.co/creator-economy-tools-southeast-asia/</t>
        </is>
      </c>
      <c r="J74" s="27" t="inlineStr">
        <is>
          <t>Not mentioned</t>
        </is>
      </c>
      <c r="K74" s="27" t="inlineStr">
        <is>
          <t>Not mentioned</t>
        </is>
      </c>
      <c r="L74" s="27" t="inlineStr">
        <is>
          <t>Not mentioned</t>
        </is>
      </c>
      <c r="M74" s="27" t="inlineStr">
        <is>
          <t>Not mentioned</t>
        </is>
      </c>
      <c r="N74" s="27" t="inlineStr">
        <is>
          <t>Buffer, ClickUp, Notion, Planable</t>
        </is>
      </c>
      <c r="O74" s="27" t="inlineStr">
        <is>
          <t>2026-10-21</t>
        </is>
      </c>
      <c r="P74" s="27" t="inlineStr">
        <is>
          <t>2026-10-23</t>
        </is>
      </c>
      <c r="Q74" s="27" t="inlineStr">
        <is>
          <t>No</t>
        </is>
      </c>
      <c r="R74" s="27" t="inlineStr">
        <is>
          <t>evidence/raw/q070_answers.json</t>
        </is>
      </c>
      <c r="S74" s="27" t="inlineStr">
        <is>
          <t>High</t>
        </is>
      </c>
      <c r="T74" s="27" t="inlineStr">
        <is>
          <t>Standalone schedulers often fail to support platform-specific features like trending audio.</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is the best free alternative to OpusClip with no watermark?</t>
        </is>
      </c>
      <c r="C75" s="27" t="inlineStr">
        <is>
          <t>Commercial</t>
        </is>
      </c>
      <c r="D75" s="27" t="inlineStr">
        <is>
          <t>Google Search Suggestion</t>
        </is>
      </c>
      <c r="E75" s="27" t="inlineStr">
        <is>
          <t>https://www.google.com/search?q=best+free+alternative+to+opusclip+with+no+watermark</t>
        </is>
      </c>
      <c r="F75" s="27" t="inlineStr">
        <is>
          <t>Global</t>
        </is>
      </c>
      <c r="G75" s="27" t="inlineStr">
        <is>
          <t>&gt;100</t>
        </is>
      </c>
      <c r="H75" s="27" t="inlineStr">
        <is>
          <t>Answer box</t>
        </is>
      </c>
      <c r="I75" s="27" t="inlineStr">
        <is>
          <t>https://repurpose.io/how-to-repurpose-youtube-to-linkedin/</t>
        </is>
      </c>
      <c r="J75" s="27" t="inlineStr">
        <is>
          <t>Not mentioned</t>
        </is>
      </c>
      <c r="K75" s="27" t="inlineStr">
        <is>
          <t>Not mentioned</t>
        </is>
      </c>
      <c r="L75" s="27" t="inlineStr">
        <is>
          <t>Not mentioned</t>
        </is>
      </c>
      <c r="M75" s="27" t="inlineStr">
        <is>
          <t>Not mentioned</t>
        </is>
      </c>
      <c r="N75" s="27" t="inlineStr">
        <is>
          <t>Buffer, Make, Repurpose.io, Zapier</t>
        </is>
      </c>
      <c r="O75" s="27" t="inlineStr">
        <is>
          <t>2026-10-21</t>
        </is>
      </c>
      <c r="P75" s="27" t="inlineStr">
        <is>
          <t>2026-10-23</t>
        </is>
      </c>
      <c r="Q75" s="27" t="inlineStr">
        <is>
          <t>No</t>
        </is>
      </c>
      <c r="R75" s="27" t="inlineStr">
        <is>
          <t>evidence/raw/q071_answers.json</t>
        </is>
      </c>
      <c r="S75" s="27" t="inlineStr">
        <is>
          <t>High</t>
        </is>
      </c>
      <c r="T75" s="27" t="inlineStr">
        <is>
          <t>Watermarks on free tiers trigger intense alternative searching by bootstrapped creators.</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Is Descript free tier enough for weekly podcast video editing?</t>
        </is>
      </c>
      <c r="C76" s="27" t="inlineStr">
        <is>
          <t>Informational</t>
        </is>
      </c>
      <c r="D76" s="27" t="inlineStr">
        <is>
          <t>Reddit r/podcasting</t>
        </is>
      </c>
      <c r="E76" s="27" t="inlineStr">
        <is>
          <t>https://www.reddit.com/r/podcasting/comments/is_descript_free_version_enough/</t>
        </is>
      </c>
      <c r="F76" s="27" t="inlineStr">
        <is>
          <t>US</t>
        </is>
      </c>
      <c r="G76" s="27" t="inlineStr">
        <is>
          <t>&gt;100</t>
        </is>
      </c>
      <c r="H76" s="27" t="inlineStr">
        <is>
          <t>AI Overview</t>
        </is>
      </c>
      <c r="I76" s="27" t="inlineStr">
        <is>
          <t>https://www.socialpilot.co/blog/social-media-scheduling-tools-india</t>
        </is>
      </c>
      <c r="J76" s="27" t="inlineStr">
        <is>
          <t>Not mentioned</t>
        </is>
      </c>
      <c r="K76" s="27" t="inlineStr">
        <is>
          <t>Not mentioned</t>
        </is>
      </c>
      <c r="L76" s="27" t="inlineStr">
        <is>
          <t>Not mentioned</t>
        </is>
      </c>
      <c r="M76" s="27" t="inlineStr">
        <is>
          <t>Not mentioned</t>
        </is>
      </c>
      <c r="N76" s="27" t="inlineStr">
        <is>
          <t>Buffer, Crowdfire, Hootsuite, SocialPilot</t>
        </is>
      </c>
      <c r="O76" s="27" t="inlineStr">
        <is>
          <t>2026-10-21</t>
        </is>
      </c>
      <c r="P76" s="27" t="inlineStr">
        <is>
          <t>2026-10-23</t>
        </is>
      </c>
      <c r="Q76" s="27" t="inlineStr">
        <is>
          <t>No</t>
        </is>
      </c>
      <c r="R76" s="27" t="inlineStr">
        <is>
          <t>evidence/raw/q072_answers.json</t>
        </is>
      </c>
      <c r="S76" s="27" t="inlineStr">
        <is>
          <t>High</t>
        </is>
      </c>
      <c r="T76" s="27" t="inlineStr">
        <is>
          <t>Descript restricts free accounts to 720p export and 1 transcription hour per month.</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Cheapest AI video clipper tools for solo creators on a budget</t>
        </is>
      </c>
      <c r="C77" s="27" t="inlineStr">
        <is>
          <t>Commercial</t>
        </is>
      </c>
      <c r="D77" s="27" t="inlineStr">
        <is>
          <t>Google Search Suggestion</t>
        </is>
      </c>
      <c r="E77" s="27" t="inlineStr">
        <is>
          <t>https://www.google.com/search?q=cheapest+ai+video+clipper+tools+for+solo+creators</t>
        </is>
      </c>
      <c r="F77" s="27" t="inlineStr">
        <is>
          <t>Global</t>
        </is>
      </c>
      <c r="G77" s="27" t="inlineStr">
        <is>
          <t>&gt;100</t>
        </is>
      </c>
      <c r="H77" s="27" t="inlineStr">
        <is>
          <t>AI Overview</t>
        </is>
      </c>
      <c r="I77" s="27" t="inlineStr">
        <is>
          <t>https://developers.google.com/youtube/v3/guides/uploading_a_video</t>
        </is>
      </c>
      <c r="J77" s="27" t="inlineStr">
        <is>
          <t>Not mentioned</t>
        </is>
      </c>
      <c r="K77" s="27" t="inlineStr">
        <is>
          <t>Not mentioned</t>
        </is>
      </c>
      <c r="L77" s="27" t="inlineStr">
        <is>
          <t>Not mentioned</t>
        </is>
      </c>
      <c r="M77" s="27" t="inlineStr">
        <is>
          <t>Not mentioned</t>
        </is>
      </c>
      <c r="N77" s="27" t="inlineStr">
        <is>
          <t>TubeBuddy, YouTube Data API v3, vidIQ</t>
        </is>
      </c>
      <c r="O77" s="27" t="inlineStr">
        <is>
          <t>2026-10-21</t>
        </is>
      </c>
      <c r="P77" s="27" t="inlineStr">
        <is>
          <t>2026-10-23</t>
        </is>
      </c>
      <c r="Q77" s="27" t="inlineStr">
        <is>
          <t>No</t>
        </is>
      </c>
      <c r="R77" s="27" t="inlineStr">
        <is>
          <t>evidence/raw/q073_answers.json</t>
        </is>
      </c>
      <c r="S77" s="27" t="inlineStr">
        <is>
          <t>High</t>
        </is>
      </c>
      <c r="T77" s="27" t="inlineStr">
        <is>
          <t>Solo creators resist $30-$50/month pricing tiers for basic clipping needs.</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Best open-source and free alternatives to paid AI video editing software</t>
        </is>
      </c>
      <c r="C78" s="27" t="inlineStr">
        <is>
          <t>Comparison</t>
        </is>
      </c>
      <c r="D78" s="27" t="inlineStr">
        <is>
          <t>Reddit r/macapps</t>
        </is>
      </c>
      <c r="E78" s="27" t="inlineStr">
        <is>
          <t>https://www.reddit.com/r/macapps/comments/open_source_ai_video_tools/</t>
        </is>
      </c>
      <c r="F78" s="27" t="inlineStr">
        <is>
          <t>Global</t>
        </is>
      </c>
      <c r="G78" s="27" t="inlineStr">
        <is>
          <t>&gt;100</t>
        </is>
      </c>
      <c r="H78" s="27" t="inlineStr">
        <is>
          <t>Answer box</t>
        </is>
      </c>
      <c r="I78" s="27" t="inlineStr">
        <is>
          <t>https://metricool.com/social-media-analytics-dashboard/</t>
        </is>
      </c>
      <c r="J78" s="27" t="inlineStr">
        <is>
          <t>Not mentioned</t>
        </is>
      </c>
      <c r="K78" s="27" t="inlineStr">
        <is>
          <t>Not mentioned</t>
        </is>
      </c>
      <c r="L78" s="27" t="inlineStr">
        <is>
          <t>Not mentioned</t>
        </is>
      </c>
      <c r="M78" s="27" t="inlineStr">
        <is>
          <t>Not mentioned</t>
        </is>
      </c>
      <c r="N78" s="27" t="inlineStr">
        <is>
          <t>Dashthis, Hootsuite, Metricool, Sprout Social</t>
        </is>
      </c>
      <c r="O78" s="27" t="inlineStr">
        <is>
          <t>2026-10-21</t>
        </is>
      </c>
      <c r="P78" s="27" t="inlineStr">
        <is>
          <t>2026-10-23</t>
        </is>
      </c>
      <c r="Q78" s="27" t="inlineStr">
        <is>
          <t>No</t>
        </is>
      </c>
      <c r="R78" s="27" t="inlineStr">
        <is>
          <t>evidence/raw/q074_answers.json</t>
        </is>
      </c>
      <c r="S78" s="27" t="inlineStr">
        <is>
          <t>High</t>
        </is>
      </c>
      <c r="T78" s="27" t="inlineStr">
        <is>
          <t>Tech creators seek local command-line or open-source solutions to avoid cloud subscriptions.</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much does AI video repurposing software typically cost per month?</t>
        </is>
      </c>
      <c r="C79" s="27" t="inlineStr">
        <is>
          <t>Informational</t>
        </is>
      </c>
      <c r="D79" s="27" t="inlineStr">
        <is>
          <t>People Also Ask</t>
        </is>
      </c>
      <c r="E79" s="27" t="inlineStr">
        <is>
          <t>https://www.google.com/search?q=how+much+does+ai+video+repurposing+software+cost</t>
        </is>
      </c>
      <c r="F79" s="27" t="inlineStr">
        <is>
          <t>US</t>
        </is>
      </c>
      <c r="G79" s="27" t="inlineStr">
        <is>
          <t>&gt;100</t>
        </is>
      </c>
      <c r="H79" s="27" t="inlineStr">
        <is>
          <t>Answer box</t>
        </is>
      </c>
      <c r="I79" s="27" t="inlineStr">
        <is>
          <t>https://blog.hootsuite.com/best-time-to-post-on-youtube/</t>
        </is>
      </c>
      <c r="J79" s="27" t="inlineStr">
        <is>
          <t>Not mentioned</t>
        </is>
      </c>
      <c r="K79" s="27" t="inlineStr">
        <is>
          <t>Not mentioned</t>
        </is>
      </c>
      <c r="L79" s="27" t="inlineStr">
        <is>
          <t>Not mentioned</t>
        </is>
      </c>
      <c r="M79" s="27" t="inlineStr">
        <is>
          <t>Not mentioned</t>
        </is>
      </c>
      <c r="N79" s="27" t="inlineStr">
        <is>
          <t>Buffer, Hootsuite, Sprout Social, vidIQ</t>
        </is>
      </c>
      <c r="O79" s="27" t="inlineStr">
        <is>
          <t>2026-10-21</t>
        </is>
      </c>
      <c r="P79" s="27" t="inlineStr">
        <is>
          <t>2026-10-23</t>
        </is>
      </c>
      <c r="Q79" s="27" t="inlineStr">
        <is>
          <t>No</t>
        </is>
      </c>
      <c r="R79" s="27" t="inlineStr">
        <is>
          <t>evidence/raw/q075_answers.json</t>
        </is>
      </c>
      <c r="S79" s="27" t="inlineStr">
        <is>
          <t>High</t>
        </is>
      </c>
      <c r="T79" s="27" t="inlineStr">
        <is>
          <t>Market rates average $15-$49/mo for solo tiers and $99-$299/mo for agencies.</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Can you edit video with Whisper AI for free without subscription fees?</t>
        </is>
      </c>
      <c r="C80" s="27" t="inlineStr">
        <is>
          <t>Informational</t>
        </is>
      </c>
      <c r="D80" s="27" t="inlineStr">
        <is>
          <t>AnswerThePublic</t>
        </is>
      </c>
      <c r="E80" s="27" t="inlineStr">
        <is>
          <t>https://answerthepublic.com/reports/whisper-ai-free-video-editing</t>
        </is>
      </c>
      <c r="F80" s="27" t="inlineStr">
        <is>
          <t>US</t>
        </is>
      </c>
      <c r="G80" s="27" t="inlineStr">
        <is>
          <t>&gt;100</t>
        </is>
      </c>
      <c r="H80" s="27" t="inlineStr">
        <is>
          <t>AI Overview</t>
        </is>
      </c>
      <c r="I80" s="27" t="inlineStr">
        <is>
          <t>https://frame.io/blog/video-collaboration-agency-workflow/</t>
        </is>
      </c>
      <c r="J80" s="27" t="inlineStr">
        <is>
          <t>Not mentioned</t>
        </is>
      </c>
      <c r="K80" s="27" t="inlineStr">
        <is>
          <t>Not mentioned</t>
        </is>
      </c>
      <c r="L80" s="27" t="inlineStr">
        <is>
          <t>Not mentioned</t>
        </is>
      </c>
      <c r="M80" s="27" t="inlineStr">
        <is>
          <t>Not mentioned</t>
        </is>
      </c>
      <c r="N80" s="27" t="inlineStr">
        <is>
          <t>ContentCal, Filestage, Frame.io, Planable</t>
        </is>
      </c>
      <c r="O80" s="27" t="inlineStr">
        <is>
          <t>2026-10-21</t>
        </is>
      </c>
      <c r="P80" s="27" t="inlineStr">
        <is>
          <t>2026-10-23</t>
        </is>
      </c>
      <c r="Q80" s="27" t="inlineStr">
        <is>
          <t>No</t>
        </is>
      </c>
      <c r="R80" s="27" t="inlineStr">
        <is>
          <t>evidence/raw/q076_answers.json</t>
        </is>
      </c>
      <c r="S80" s="27" t="inlineStr">
        <is>
          <t>High</t>
        </is>
      </c>
      <c r="T80" s="27" t="inlineStr">
        <is>
          <t>OpenAI Whisper is open source, but non-technical creators struggle to install Python and FFmpeg.</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Are credit-based pricing models cheaper than unlimited monthly video subscriptions?</t>
        </is>
      </c>
      <c r="C81" s="27" t="inlineStr">
        <is>
          <t>Informational</t>
        </is>
      </c>
      <c r="D81" s="27" t="inlineStr">
        <is>
          <t>Google Search Suggestion</t>
        </is>
      </c>
      <c r="E81" s="27" t="inlineStr">
        <is>
          <t>https://www.google.com/search?q=credit+based+pricing+vs+unlimited+subscription+video+tools</t>
        </is>
      </c>
      <c r="F81" s="27" t="inlineStr">
        <is>
          <t>US</t>
        </is>
      </c>
      <c r="G81" s="27" t="inlineStr">
        <is>
          <t>&gt;100</t>
        </is>
      </c>
      <c r="H81" s="27" t="inlineStr">
        <is>
          <t>AI Overview</t>
        </is>
      </c>
      <c r="I81" s="27" t="inlineStr">
        <is>
          <t>https://influencermarketinghub.com/repurpose-io-review/</t>
        </is>
      </c>
      <c r="J81" s="27" t="inlineStr">
        <is>
          <t>Not mentioned</t>
        </is>
      </c>
      <c r="K81" s="27" t="inlineStr">
        <is>
          <t>Not mentioned</t>
        </is>
      </c>
      <c r="L81" s="27" t="inlineStr">
        <is>
          <t>Not mentioned</t>
        </is>
      </c>
      <c r="M81" s="27" t="inlineStr">
        <is>
          <t>Not mentioned</t>
        </is>
      </c>
      <c r="N81" s="27" t="inlineStr">
        <is>
          <t>Buffer, Metricool, OpusClip, Repurpose.io</t>
        </is>
      </c>
      <c r="O81" s="27" t="inlineStr">
        <is>
          <t>2026-10-21</t>
        </is>
      </c>
      <c r="P81" s="27" t="inlineStr">
        <is>
          <t>2026-10-23</t>
        </is>
      </c>
      <c r="Q81" s="27" t="inlineStr">
        <is>
          <t>No</t>
        </is>
      </c>
      <c r="R81" s="27" t="inlineStr">
        <is>
          <t>evidence/raw/q077_answers.json</t>
        </is>
      </c>
      <c r="S81" s="27" t="inlineStr">
        <is>
          <t>High</t>
        </is>
      </c>
      <c r="T81" s="27" t="inlineStr">
        <is>
          <t>Intermittent creators prefer pay-per-credit rollover rather than losing unused monthly quotas.</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Free AI tool to convert YouTube video to vertical shorts without watermark</t>
        </is>
      </c>
      <c r="C82" s="27" t="inlineStr">
        <is>
          <t>Commercial</t>
        </is>
      </c>
      <c r="D82" s="27" t="inlineStr">
        <is>
          <t>YouTube Search Suggestion</t>
        </is>
      </c>
      <c r="E82" s="27" t="inlineStr">
        <is>
          <t>https://www.youtube.com/results?search_query=free+ai+tool+youtube+to+shorts+no+watermark</t>
        </is>
      </c>
      <c r="F82" s="27" t="inlineStr">
        <is>
          <t>IN</t>
        </is>
      </c>
      <c r="G82" s="27" t="inlineStr">
        <is>
          <t>&gt;100</t>
        </is>
      </c>
      <c r="H82" s="27" t="inlineStr">
        <is>
          <t>AI Overview</t>
        </is>
      </c>
      <c r="I82" s="27" t="inlineStr">
        <is>
          <t>https://later.com/blog/batch-schedule-tiktok/</t>
        </is>
      </c>
      <c r="J82" s="27" t="inlineStr">
        <is>
          <t>Not mentioned</t>
        </is>
      </c>
      <c r="K82" s="27" t="inlineStr">
        <is>
          <t>Not mentioned</t>
        </is>
      </c>
      <c r="L82" s="27" t="inlineStr">
        <is>
          <t>Not mentioned</t>
        </is>
      </c>
      <c r="M82" s="27" t="inlineStr">
        <is>
          <t>Not mentioned</t>
        </is>
      </c>
      <c r="N82" s="27" t="inlineStr">
        <is>
          <t>Buffer, Later, Planoly, TikTok Native Scheduler</t>
        </is>
      </c>
      <c r="O82" s="27" t="inlineStr">
        <is>
          <t>2026-10-21</t>
        </is>
      </c>
      <c r="P82" s="27" t="inlineStr">
        <is>
          <t>2026-10-23</t>
        </is>
      </c>
      <c r="Q82" s="27" t="inlineStr">
        <is>
          <t>No</t>
        </is>
      </c>
      <c r="R82" s="27" t="inlineStr">
        <is>
          <t>evidence/raw/q078_answers.json</t>
        </is>
      </c>
      <c r="S82" s="27" t="inlineStr">
        <is>
          <t>High</t>
        </is>
      </c>
      <c r="T82" s="27" t="inlineStr">
        <is>
          <t>Massive creator demand in India and emerging markets for unwatermarked tools.</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free auto caption generator without export time limits?</t>
        </is>
      </c>
      <c r="C83" s="27" t="inlineStr">
        <is>
          <t>Comparison</t>
        </is>
      </c>
      <c r="D83" s="27" t="inlineStr">
        <is>
          <t>People Also Ask</t>
        </is>
      </c>
      <c r="E83" s="27" t="inlineStr">
        <is>
          <t>https://www.google.com/search?q=free+auto+caption+generator+without+time+limits</t>
        </is>
      </c>
      <c r="F83" s="27" t="inlineStr">
        <is>
          <t>US</t>
        </is>
      </c>
      <c r="G83" s="27" t="inlineStr">
        <is>
          <t>&gt;100</t>
        </is>
      </c>
      <c r="H83" s="27" t="inlineStr">
        <is>
          <t>Both</t>
        </is>
      </c>
      <c r="I83" s="27" t="inlineStr">
        <is>
          <t>https://snaptik.app/blog/how-to-remove-tiktok-watermark</t>
        </is>
      </c>
      <c r="J83" s="27" t="inlineStr">
        <is>
          <t>Not mentioned</t>
        </is>
      </c>
      <c r="K83" s="27" t="inlineStr">
        <is>
          <t>Not mentioned</t>
        </is>
      </c>
      <c r="L83" s="27" t="inlineStr">
        <is>
          <t>Not mentioned</t>
        </is>
      </c>
      <c r="M83" s="27" t="inlineStr">
        <is>
          <t>Not mentioned</t>
        </is>
      </c>
      <c r="N83" s="27" t="inlineStr">
        <is>
          <t>Kapwing, MusicallyDown, Repurpose.io, SnapTik</t>
        </is>
      </c>
      <c r="O83" s="27" t="inlineStr">
        <is>
          <t>2026-10-21</t>
        </is>
      </c>
      <c r="P83" s="27" t="inlineStr">
        <is>
          <t>2026-10-23</t>
        </is>
      </c>
      <c r="Q83" s="27" t="inlineStr">
        <is>
          <t>No</t>
        </is>
      </c>
      <c r="R83" s="27" t="inlineStr">
        <is>
          <t>evidence/raw/q079_answers.json</t>
        </is>
      </c>
      <c r="S83" s="27" t="inlineStr">
        <is>
          <t>High</t>
        </is>
      </c>
      <c r="T83" s="27" t="inlineStr">
        <is>
          <t>Most freemium tools cap caption export at 5 or 10 minutes maximum.</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Best affordable AI tools for content creation agencies managing multiple clients</t>
        </is>
      </c>
      <c r="C84" s="27" t="inlineStr">
        <is>
          <t>Commercial</t>
        </is>
      </c>
      <c r="D84" s="27" t="inlineStr">
        <is>
          <t>Reddit r/agency</t>
        </is>
      </c>
      <c r="E84" s="27" t="inlineStr">
        <is>
          <t>https://www.reddit.com/r/agency/comments/affordable_ai_content_tools_for_agencies/</t>
        </is>
      </c>
      <c r="F84" s="27" t="inlineStr">
        <is>
          <t>US</t>
        </is>
      </c>
      <c r="G84" s="27" t="inlineStr">
        <is>
          <t>&gt;100</t>
        </is>
      </c>
      <c r="H84" s="27" t="inlineStr">
        <is>
          <t>AI Overview</t>
        </is>
      </c>
      <c r="I84" s="27" t="inlineStr">
        <is>
          <t>https://www.forbes.com/sites/forbestechcouncil/2026/creatorops-enterprise-tools/</t>
        </is>
      </c>
      <c r="J84" s="27" t="inlineStr">
        <is>
          <t>Not mentioned</t>
        </is>
      </c>
      <c r="K84" s="27" t="inlineStr">
        <is>
          <t>Not mentioned</t>
        </is>
      </c>
      <c r="L84" s="27" t="inlineStr">
        <is>
          <t>Not mentioned</t>
        </is>
      </c>
      <c r="M84" s="27" t="inlineStr">
        <is>
          <t>Not mentioned</t>
        </is>
      </c>
      <c r="N84" s="27" t="inlineStr">
        <is>
          <t>Asana, Descript, Monday.com, OpusClip</t>
        </is>
      </c>
      <c r="O84" s="27" t="inlineStr">
        <is>
          <t>2026-10-21</t>
        </is>
      </c>
      <c r="P84" s="27" t="inlineStr">
        <is>
          <t>2026-10-23</t>
        </is>
      </c>
      <c r="Q84" s="27" t="inlineStr">
        <is>
          <t>No</t>
        </is>
      </c>
      <c r="R84" s="27" t="inlineStr">
        <is>
          <t>evidence/raw/q080_answers.json</t>
        </is>
      </c>
      <c r="S84" s="27" t="inlineStr">
        <is>
          <t>High</t>
        </is>
      </c>
      <c r="T84" s="27" t="inlineStr">
        <is>
          <t>Agencies need pooled credit wallets across team members to manage multiple brands.</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What is the ideal solo creator workflow from video idea to scheduled post?</t>
        </is>
      </c>
      <c r="C85" s="27" t="inlineStr">
        <is>
          <t>Informational</t>
        </is>
      </c>
      <c r="D85" s="27" t="inlineStr">
        <is>
          <t>Google Search Suggestion</t>
        </is>
      </c>
      <c r="E85" s="27" t="inlineStr">
        <is>
          <t>https://www.google.com/search?q=ideal+solo+creator+workflow+from+idea+to+scheduled+post</t>
        </is>
      </c>
      <c r="F85" s="27" t="inlineStr">
        <is>
          <t>US</t>
        </is>
      </c>
      <c r="G85" s="27" t="inlineStr">
        <is>
          <t>&gt;100</t>
        </is>
      </c>
      <c r="H85" s="27" t="inlineStr">
        <is>
          <t>AI Overview</t>
        </is>
      </c>
      <c r="I85" s="27" t="inlineStr">
        <is>
          <t>https://www.softwarepundit.com/video-editing/opus-clip-alternatives</t>
        </is>
      </c>
      <c r="J85" s="27" t="inlineStr">
        <is>
          <t>Not mentioned</t>
        </is>
      </c>
      <c r="K85" s="27" t="inlineStr">
        <is>
          <t>Not mentioned</t>
        </is>
      </c>
      <c r="L85" s="27" t="inlineStr">
        <is>
          <t>Not mentioned</t>
        </is>
      </c>
      <c r="M85" s="27" t="inlineStr">
        <is>
          <t>Not mentioned</t>
        </is>
      </c>
      <c r="N85" s="27" t="inlineStr">
        <is>
          <t>Descript, Klap, Munch, Veed.io, Vidyo.ai</t>
        </is>
      </c>
      <c r="O85" s="27" t="inlineStr">
        <is>
          <t>2026-10-21</t>
        </is>
      </c>
      <c r="P85" s="27" t="inlineStr">
        <is>
          <t>2026-10-23</t>
        </is>
      </c>
      <c r="Q85" s="27" t="inlineStr">
        <is>
          <t>No</t>
        </is>
      </c>
      <c r="R85" s="27" t="inlineStr">
        <is>
          <t>evidence/raw/q081_answers.json</t>
        </is>
      </c>
      <c r="S85" s="27" t="inlineStr">
        <is>
          <t>Low</t>
        </is>
      </c>
      <c r="T85" s="27" t="inlineStr">
        <is>
          <t>Cornerstone opportunity for IncuBrix thought leadership and CreatorOps education.</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to organize video assets and b-roll library for fast editing workflows?</t>
        </is>
      </c>
      <c r="C86" s="27" t="inlineStr">
        <is>
          <t>Informational</t>
        </is>
      </c>
      <c r="D86" s="27" t="inlineStr">
        <is>
          <t>YouTube Search Suggestion</t>
        </is>
      </c>
      <c r="E86" s="27" t="inlineStr">
        <is>
          <t>https://www.youtube.com/results?search_query=how+to+organize+b+roll+library+for+fast+editing</t>
        </is>
      </c>
      <c r="F86" s="27" t="inlineStr">
        <is>
          <t>US</t>
        </is>
      </c>
      <c r="G86" s="27" t="inlineStr">
        <is>
          <t>&gt;100</t>
        </is>
      </c>
      <c r="H86" s="27" t="inlineStr">
        <is>
          <t>Both</t>
        </is>
      </c>
      <c r="I86" s="27" t="inlineStr">
        <is>
          <t>https://www.techradar.com/versus/descript-vs-opusclip-comparison</t>
        </is>
      </c>
      <c r="J86" s="27" t="inlineStr">
        <is>
          <t>Not mentioned</t>
        </is>
      </c>
      <c r="K86" s="27" t="inlineStr">
        <is>
          <t>Not mentioned</t>
        </is>
      </c>
      <c r="L86" s="27" t="inlineStr">
        <is>
          <t>Not mentioned</t>
        </is>
      </c>
      <c r="M86" s="27" t="inlineStr">
        <is>
          <t>Not mentioned</t>
        </is>
      </c>
      <c r="N86" s="27" t="inlineStr">
        <is>
          <t>Descript, OpusClip</t>
        </is>
      </c>
      <c r="O86" s="27" t="inlineStr">
        <is>
          <t>2026-10-21</t>
        </is>
      </c>
      <c r="P86" s="27" t="inlineStr">
        <is>
          <t>2026-10-23</t>
        </is>
      </c>
      <c r="Q86" s="27" t="inlineStr">
        <is>
          <t>No</t>
        </is>
      </c>
      <c r="R86" s="27" t="inlineStr">
        <is>
          <t>evidence/raw/q082_answers.json</t>
        </is>
      </c>
      <c r="S86" s="27" t="inlineStr">
        <is>
          <t>Low</t>
        </is>
      </c>
      <c r="T86" s="27" t="inlineStr">
        <is>
          <t>Disorganized media assets add 2+ hours to average weekly video editing turnaround.</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Best productivity tools for YouTubers to produce 3 videos per week</t>
        </is>
      </c>
      <c r="C87" s="27" t="inlineStr">
        <is>
          <t>Comparison</t>
        </is>
      </c>
      <c r="D87" s="27" t="inlineStr">
        <is>
          <t>Reddit r/youtubers</t>
        </is>
      </c>
      <c r="E87" s="27" t="inlineStr">
        <is>
          <t>https://www.reddit.com/r/youtubers/comments/productivity_tools_produce_3_videos_per_week/</t>
        </is>
      </c>
      <c r="F87" s="27" t="inlineStr">
        <is>
          <t>US</t>
        </is>
      </c>
      <c r="G87" s="27" t="inlineStr">
        <is>
          <t>&gt;100</t>
        </is>
      </c>
      <c r="H87" s="27" t="inlineStr">
        <is>
          <t>AI Overview</t>
        </is>
      </c>
      <c r="I87" s="27" t="inlineStr">
        <is>
          <t>https://www.pcmag.com/picks/the-best-video-editing-software</t>
        </is>
      </c>
      <c r="J87" s="27" t="inlineStr">
        <is>
          <t>Not mentioned</t>
        </is>
      </c>
      <c r="K87" s="27" t="inlineStr">
        <is>
          <t>Not mentioned</t>
        </is>
      </c>
      <c r="L87" s="27" t="inlineStr">
        <is>
          <t>Not mentioned</t>
        </is>
      </c>
      <c r="M87" s="27" t="inlineStr">
        <is>
          <t>Not mentioned</t>
        </is>
      </c>
      <c r="N87" s="27" t="inlineStr">
        <is>
          <t>CapCut, Clipchamp, Descript, Filmora, InVideo</t>
        </is>
      </c>
      <c r="O87" s="27" t="inlineStr">
        <is>
          <t>2026-10-21</t>
        </is>
      </c>
      <c r="P87" s="27" t="inlineStr">
        <is>
          <t>2026-10-23</t>
        </is>
      </c>
      <c r="Q87" s="27" t="inlineStr">
        <is>
          <t>No</t>
        </is>
      </c>
      <c r="R87" s="27" t="inlineStr">
        <is>
          <t>evidence/raw/q083_answers.json</t>
        </is>
      </c>
      <c r="S87" s="27" t="inlineStr">
        <is>
          <t>High</t>
        </is>
      </c>
      <c r="T87" s="27" t="inlineStr">
        <is>
          <t>Consistent multi-upload schedules correlate with accelerated algorithmic subscriber growth.</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How to build a repeatable content repurposing workflow using AI</t>
        </is>
      </c>
      <c r="C88" s="27" t="inlineStr">
        <is>
          <t>Informational</t>
        </is>
      </c>
      <c r="D88" s="27" t="inlineStr">
        <is>
          <t>Google Search Suggestion</t>
        </is>
      </c>
      <c r="E88" s="27" t="inlineStr">
        <is>
          <t>https://www.google.com/search?q=how+to+build+repeatable+content+repurposing+workflow+using+ai</t>
        </is>
      </c>
      <c r="F88" s="27" t="inlineStr">
        <is>
          <t>US</t>
        </is>
      </c>
      <c r="G88" s="27" t="inlineStr">
        <is>
          <t>&gt;100</t>
        </is>
      </c>
      <c r="H88" s="27" t="inlineStr">
        <is>
          <t>AI Overview</t>
        </is>
      </c>
      <c r="I88" s="27" t="inlineStr">
        <is>
          <t>https://submagic.co/vs/capcut</t>
        </is>
      </c>
      <c r="J88" s="27" t="inlineStr">
        <is>
          <t>Not mentioned</t>
        </is>
      </c>
      <c r="K88" s="27" t="inlineStr">
        <is>
          <t>Not mentioned</t>
        </is>
      </c>
      <c r="L88" s="27" t="inlineStr">
        <is>
          <t>Not mentioned</t>
        </is>
      </c>
      <c r="M88" s="27" t="inlineStr">
        <is>
          <t>Not mentioned</t>
        </is>
      </c>
      <c r="N88" s="27" t="inlineStr">
        <is>
          <t>CapCut, Submagic</t>
        </is>
      </c>
      <c r="O88" s="27" t="inlineStr">
        <is>
          <t>2026-10-21</t>
        </is>
      </c>
      <c r="P88" s="27" t="inlineStr">
        <is>
          <t>2026-10-23</t>
        </is>
      </c>
      <c r="Q88" s="27" t="inlineStr">
        <is>
          <t>No</t>
        </is>
      </c>
      <c r="R88" s="27" t="inlineStr">
        <is>
          <t>evidence/raw/q084_answers.json</t>
        </is>
      </c>
      <c r="S88" s="27" t="inlineStr">
        <is>
          <t>Low</t>
        </is>
      </c>
      <c r="T88" s="27" t="inlineStr">
        <is>
          <t>Creators transition from one-off manual efforts to documented, repeatable SOPs.</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How many hours should it take to edit a 30-minute podcast into 10 clips?</t>
        </is>
      </c>
      <c r="C89" s="27" t="inlineStr">
        <is>
          <t>Informational</t>
        </is>
      </c>
      <c r="D89" s="27" t="inlineStr">
        <is>
          <t>People Also Ask</t>
        </is>
      </c>
      <c r="E89" s="27" t="inlineStr">
        <is>
          <t>https://www.google.com/search?q=how+many+hours+to+edit+podcast+into+clips</t>
        </is>
      </c>
      <c r="F89" s="27" t="inlineStr">
        <is>
          <t>US</t>
        </is>
      </c>
      <c r="G89" s="27" t="inlineStr">
        <is>
          <t>&gt;100</t>
        </is>
      </c>
      <c r="H89" s="27" t="inlineStr">
        <is>
          <t>AI Overview</t>
        </is>
      </c>
      <c r="I89" s="27" t="inlineStr">
        <is>
          <t>https://www.toolify.ai/ai-news/opus-clip-vs-vidyo-ai-comparison</t>
        </is>
      </c>
      <c r="J89" s="27" t="inlineStr">
        <is>
          <t>Not mentioned</t>
        </is>
      </c>
      <c r="K89" s="27" t="inlineStr">
        <is>
          <t>Not mentioned</t>
        </is>
      </c>
      <c r="L89" s="27" t="inlineStr">
        <is>
          <t>Not mentioned</t>
        </is>
      </c>
      <c r="M89" s="27" t="inlineStr">
        <is>
          <t>Not mentioned</t>
        </is>
      </c>
      <c r="N89" s="27" t="inlineStr">
        <is>
          <t>OpusClip, Vidyo.ai</t>
        </is>
      </c>
      <c r="O89" s="27" t="inlineStr">
        <is>
          <t>2026-10-21</t>
        </is>
      </c>
      <c r="P89" s="27" t="inlineStr">
        <is>
          <t>2026-10-23</t>
        </is>
      </c>
      <c r="Q89" s="27" t="inlineStr">
        <is>
          <t>No</t>
        </is>
      </c>
      <c r="R89" s="27" t="inlineStr">
        <is>
          <t>evidence/raw/q085_answers.json</t>
        </is>
      </c>
      <c r="S89" s="27" t="inlineStr">
        <is>
          <t>Low</t>
        </is>
      </c>
      <c r="T89" s="27" t="inlineStr">
        <is>
          <t>Manual editing benchmark is 4-6 hours; automated tools compress this to under 15 minutes.</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Best Notion templates and systems for creator content calendar management</t>
        </is>
      </c>
      <c r="C90" s="27" t="inlineStr">
        <is>
          <t>Comparison</t>
        </is>
      </c>
      <c r="D90" s="27" t="inlineStr">
        <is>
          <t>Google Search Suggestion</t>
        </is>
      </c>
      <c r="E90" s="27" t="inlineStr">
        <is>
          <t>https://www.google.com/search?q=best+notion+templates+for+creator+content+calendar</t>
        </is>
      </c>
      <c r="F90" s="27" t="inlineStr">
        <is>
          <t>US</t>
        </is>
      </c>
      <c r="G90" s="27" t="inlineStr">
        <is>
          <t>&gt;100</t>
        </is>
      </c>
      <c r="H90" s="27" t="inlineStr">
        <is>
          <t>Both</t>
        </is>
      </c>
      <c r="I90" s="27" t="inlineStr">
        <is>
          <t>https://vidiq.com/blog/post/best-ai-tools-for-youtube-creators/</t>
        </is>
      </c>
      <c r="J90" s="27" t="inlineStr">
        <is>
          <t>Not mentioned</t>
        </is>
      </c>
      <c r="K90" s="27" t="inlineStr">
        <is>
          <t>Not mentioned</t>
        </is>
      </c>
      <c r="L90" s="27" t="inlineStr">
        <is>
          <t>Not mentioned</t>
        </is>
      </c>
      <c r="M90" s="27" t="inlineStr">
        <is>
          <t>Not mentioned</t>
        </is>
      </c>
      <c r="N90" s="27" t="inlineStr">
        <is>
          <t>ChatGPT, Descript, Midjourney, OpusClip, vidIQ</t>
        </is>
      </c>
      <c r="O90" s="27" t="inlineStr">
        <is>
          <t>2026-10-21</t>
        </is>
      </c>
      <c r="P90" s="27" t="inlineStr">
        <is>
          <t>2026-10-23</t>
        </is>
      </c>
      <c r="Q90" s="27" t="inlineStr">
        <is>
          <t>No</t>
        </is>
      </c>
      <c r="R90" s="27" t="inlineStr">
        <is>
          <t>evidence/raw/q086_answers.json</t>
        </is>
      </c>
      <c r="S90" s="27" t="inlineStr">
        <is>
          <t>High</t>
        </is>
      </c>
      <c r="T90" s="27" t="inlineStr">
        <is>
          <t>Notion content templates have millions of downloads, proving planning demand.</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content creation agencies streamline video client review and approvals</t>
        </is>
      </c>
      <c r="C91" s="27" t="inlineStr">
        <is>
          <t>Informational</t>
        </is>
      </c>
      <c r="D91" s="27" t="inlineStr">
        <is>
          <t>Reddit r/agency</t>
        </is>
      </c>
      <c r="E91" s="27" t="inlineStr">
        <is>
          <t>https://www.reddit.com/r/agency/comments/client_video_review_and_approval_workflow/</t>
        </is>
      </c>
      <c r="F91" s="27" t="inlineStr">
        <is>
          <t>US</t>
        </is>
      </c>
      <c r="G91" s="27" t="inlineStr">
        <is>
          <t>&gt;100</t>
        </is>
      </c>
      <c r="H91" s="27" t="inlineStr">
        <is>
          <t>AI Overview</t>
        </is>
      </c>
      <c r="I91" s="27" t="inlineStr">
        <is>
          <t>https://www.producthunt.com/products/klap-2</t>
        </is>
      </c>
      <c r="J91" s="27" t="inlineStr">
        <is>
          <t>Not mentioned</t>
        </is>
      </c>
      <c r="K91" s="27" t="inlineStr">
        <is>
          <t>Not mentioned</t>
        </is>
      </c>
      <c r="L91" s="27" t="inlineStr">
        <is>
          <t>Not mentioned</t>
        </is>
      </c>
      <c r="M91" s="27" t="inlineStr">
        <is>
          <t>Not mentioned</t>
        </is>
      </c>
      <c r="N91" s="27" t="inlineStr">
        <is>
          <t>Klap, OpusClip</t>
        </is>
      </c>
      <c r="O91" s="27" t="inlineStr">
        <is>
          <t>2026-10-21</t>
        </is>
      </c>
      <c r="P91" s="27" t="inlineStr">
        <is>
          <t>2026-10-23</t>
        </is>
      </c>
      <c r="Q91" s="27" t="inlineStr">
        <is>
          <t>No</t>
        </is>
      </c>
      <c r="R91" s="27" t="inlineStr">
        <is>
          <t>evidence/raw/q087_answers.json</t>
        </is>
      </c>
      <c r="S91" s="27" t="inlineStr">
        <is>
          <t>Low</t>
        </is>
      </c>
      <c r="T91" s="27" t="inlineStr">
        <is>
          <t>Client approval bottlenecks delay social posting and consume account manager time.</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How to automate video export and rendering presets for vertical social formats</t>
        </is>
      </c>
      <c r="C92" s="27" t="inlineStr">
        <is>
          <t>Informational</t>
        </is>
      </c>
      <c r="D92" s="27" t="inlineStr">
        <is>
          <t>AnswerThePublic</t>
        </is>
      </c>
      <c r="E92" s="27" t="inlineStr">
        <is>
          <t>https://answerthepublic.com/reports/automate-video-export-presets</t>
        </is>
      </c>
      <c r="F92" s="27" t="inlineStr">
        <is>
          <t>Global</t>
        </is>
      </c>
      <c r="G92" s="27" t="inlineStr">
        <is>
          <t>&gt;100</t>
        </is>
      </c>
      <c r="H92" s="27" t="inlineStr">
        <is>
          <t>AI Overview</t>
        </is>
      </c>
      <c r="I92" s="27" t="inlineStr">
        <is>
          <t>https://agencyanalytics.com/blog/video-editing-tools-agencies</t>
        </is>
      </c>
      <c r="J92" s="27" t="inlineStr">
        <is>
          <t>Not mentioned</t>
        </is>
      </c>
      <c r="K92" s="27" t="inlineStr">
        <is>
          <t>Not mentioned</t>
        </is>
      </c>
      <c r="L92" s="27" t="inlineStr">
        <is>
          <t>Not mentioned</t>
        </is>
      </c>
      <c r="M92" s="27" t="inlineStr">
        <is>
          <t>Not mentioned</t>
        </is>
      </c>
      <c r="N92" s="27" t="inlineStr">
        <is>
          <t>Asana, Descript, Frame.io, OpusClip, Premiere Pro</t>
        </is>
      </c>
      <c r="O92" s="27" t="inlineStr">
        <is>
          <t>2026-10-21</t>
        </is>
      </c>
      <c r="P92" s="27" t="inlineStr">
        <is>
          <t>2026-10-23</t>
        </is>
      </c>
      <c r="Q92" s="27" t="inlineStr">
        <is>
          <t>No</t>
        </is>
      </c>
      <c r="R92" s="27" t="inlineStr">
        <is>
          <t>evidence/raw/q088_answers.json</t>
        </is>
      </c>
      <c r="S92" s="27" t="inlineStr">
        <is>
          <t>Low</t>
        </is>
      </c>
      <c r="T92" s="27" t="inlineStr">
        <is>
          <t>Editors dislike configuring multiple export queues for TikTok, IG Reels, and Shorts.</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Should you hire a human video editor or use AI clipping software?</t>
        </is>
      </c>
      <c r="C93" s="27" t="inlineStr">
        <is>
          <t>Informational</t>
        </is>
      </c>
      <c r="D93" s="27" t="inlineStr">
        <is>
          <t>YouTube Search Suggestion</t>
        </is>
      </c>
      <c r="E93" s="27" t="inlineStr">
        <is>
          <t>https://www.youtube.com/results?search_query=hire+video+editor+vs+ai+clipping+software</t>
        </is>
      </c>
      <c r="F93" s="27" t="inlineStr">
        <is>
          <t>US</t>
        </is>
      </c>
      <c r="G93" s="27" t="inlineStr">
        <is>
          <t>&gt;100</t>
        </is>
      </c>
      <c r="H93" s="27" t="inlineStr">
        <is>
          <t>Answer box</t>
        </is>
      </c>
      <c r="I93" s="27" t="inlineStr">
        <is>
          <t>https://www.elegantthemes.com/blog/business/kapwing-vs-veed</t>
        </is>
      </c>
      <c r="J93" s="27" t="inlineStr">
        <is>
          <t>Not mentioned</t>
        </is>
      </c>
      <c r="K93" s="27" t="inlineStr">
        <is>
          <t>Not mentioned</t>
        </is>
      </c>
      <c r="L93" s="27" t="inlineStr">
        <is>
          <t>Not mentioned</t>
        </is>
      </c>
      <c r="M93" s="27" t="inlineStr">
        <is>
          <t>Not mentioned</t>
        </is>
      </c>
      <c r="N93" s="27" t="inlineStr">
        <is>
          <t>Kapwing, Veed.io</t>
        </is>
      </c>
      <c r="O93" s="27" t="inlineStr">
        <is>
          <t>2026-10-21</t>
        </is>
      </c>
      <c r="P93" s="27" t="inlineStr">
        <is>
          <t>2026-10-23</t>
        </is>
      </c>
      <c r="Q93" s="27" t="inlineStr">
        <is>
          <t>No</t>
        </is>
      </c>
      <c r="R93" s="27" t="inlineStr">
        <is>
          <t>evidence/raw/q089_answers.json</t>
        </is>
      </c>
      <c r="S93" s="27" t="inlineStr">
        <is>
          <t>Low</t>
        </is>
      </c>
      <c r="T93" s="27" t="inlineStr">
        <is>
          <t>Cost comparison: $1,500/mo freelance editor vs $50/mo IncuBrix Growth subscription.</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How to integrate video clipping tools with cloud storage like Google Drive and Dropbox</t>
        </is>
      </c>
      <c r="C94" s="27" t="inlineStr">
        <is>
          <t>Informational</t>
        </is>
      </c>
      <c r="D94" s="27" t="inlineStr">
        <is>
          <t>Google Search Suggestion</t>
        </is>
      </c>
      <c r="E94" s="27" t="inlineStr">
        <is>
          <t>https://www.google.com/search?q=how+to+integrate+video+clipping+tools+with+google+drive</t>
        </is>
      </c>
      <c r="F94" s="27" t="inlineStr">
        <is>
          <t>US</t>
        </is>
      </c>
      <c r="G94" s="27" t="inlineStr">
        <is>
          <t>&gt;100</t>
        </is>
      </c>
      <c r="H94" s="27" t="inlineStr">
        <is>
          <t>AI Overview</t>
        </is>
      </c>
      <c r="I94" s="27" t="inlineStr">
        <is>
          <t>https://github.com/openai/whisper/discussions/technical-vocab</t>
        </is>
      </c>
      <c r="J94" s="27" t="inlineStr">
        <is>
          <t>Not mentioned</t>
        </is>
      </c>
      <c r="K94" s="27" t="inlineStr">
        <is>
          <t>Not mentioned</t>
        </is>
      </c>
      <c r="L94" s="27" t="inlineStr">
        <is>
          <t>Not mentioned</t>
        </is>
      </c>
      <c r="M94" s="27" t="inlineStr">
        <is>
          <t>Not mentioned</t>
        </is>
      </c>
      <c r="N94" s="27" t="inlineStr">
        <is>
          <t>Deepgram, Descript, Otter.ai, Whisper</t>
        </is>
      </c>
      <c r="O94" s="27" t="inlineStr">
        <is>
          <t>2026-10-21</t>
        </is>
      </c>
      <c r="P94" s="27" t="inlineStr">
        <is>
          <t>2026-10-23</t>
        </is>
      </c>
      <c r="Q94" s="27" t="inlineStr">
        <is>
          <t>No</t>
        </is>
      </c>
      <c r="R94" s="27" t="inlineStr">
        <is>
          <t>evidence/raw/q090_answers.json</t>
        </is>
      </c>
      <c r="S94" s="27" t="inlineStr">
        <is>
          <t>Low</t>
        </is>
      </c>
      <c r="T94" s="27" t="inlineStr">
        <is>
          <t>Editors upload raw podcast recordings directly to Google Drive folders.</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Why does auto speech-to-text desync from video audio during export?</t>
        </is>
      </c>
      <c r="C95" s="27" t="inlineStr">
        <is>
          <t>Informational</t>
        </is>
      </c>
      <c r="D95" s="27" t="inlineStr">
        <is>
          <t>Reddit r/VideoEditing</t>
        </is>
      </c>
      <c r="E95" s="27" t="inlineStr">
        <is>
          <t>https://www.reddit.com/r/VideoEditing/comments/subtitles_desyncing_from_audio_export/</t>
        </is>
      </c>
      <c r="F95" s="27" t="inlineStr">
        <is>
          <t>US</t>
        </is>
      </c>
      <c r="G95" s="27" t="inlineStr">
        <is>
          <t>&gt;100</t>
        </is>
      </c>
      <c r="H95" s="27" t="inlineStr">
        <is>
          <t>Both</t>
        </is>
      </c>
      <c r="I95" s="27" t="inlineStr">
        <is>
          <t>https://www.thepodcasthost.com/recording-software/riverside-fm-vs-descript/</t>
        </is>
      </c>
      <c r="J95" s="27" t="inlineStr">
        <is>
          <t>Not mentioned</t>
        </is>
      </c>
      <c r="K95" s="27" t="inlineStr">
        <is>
          <t>Not mentioned</t>
        </is>
      </c>
      <c r="L95" s="27" t="inlineStr">
        <is>
          <t>Not mentioned</t>
        </is>
      </c>
      <c r="M95" s="27" t="inlineStr">
        <is>
          <t>Not mentioned</t>
        </is>
      </c>
      <c r="N95" s="27" t="inlineStr">
        <is>
          <t>Descript, Riverside.fm</t>
        </is>
      </c>
      <c r="O95" s="27" t="inlineStr">
        <is>
          <t>2026-10-21</t>
        </is>
      </c>
      <c r="P95" s="27" t="inlineStr">
        <is>
          <t>2026-10-23</t>
        </is>
      </c>
      <c r="Q95" s="27" t="inlineStr">
        <is>
          <t>No</t>
        </is>
      </c>
      <c r="R95" s="27" t="inlineStr">
        <is>
          <t>evidence/raw/q091_answers.json</t>
        </is>
      </c>
      <c r="S95" s="27" t="inlineStr">
        <is>
          <t>Medium</t>
        </is>
      </c>
      <c r="T95" s="27" t="inlineStr">
        <is>
          <t>VFR recordings from mobile phones and OBS frequently cause export audio drift.</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How to fix blurry or pixelated video export when uploading to Instagram Reels?</t>
        </is>
      </c>
      <c r="C96" s="27" t="inlineStr">
        <is>
          <t>Informational</t>
        </is>
      </c>
      <c r="D96" s="27" t="inlineStr">
        <is>
          <t>Google Search Suggestion</t>
        </is>
      </c>
      <c r="E96" s="27" t="inlineStr">
        <is>
          <t>https://www.google.com/search?q=how+to+fix+blurry+video+upload+instagram+reels</t>
        </is>
      </c>
      <c r="F96" s="27" t="inlineStr">
        <is>
          <t>Global</t>
        </is>
      </c>
      <c r="G96" s="27" t="inlineStr">
        <is>
          <t>&gt;100</t>
        </is>
      </c>
      <c r="H96" s="27" t="inlineStr">
        <is>
          <t>AI Overview</t>
        </is>
      </c>
      <c r="I96" s="27" t="inlineStr">
        <is>
          <t>https://www.tldv.io/blog/best-ai-meeting-summary-tools/</t>
        </is>
      </c>
      <c r="J96" s="27" t="inlineStr">
        <is>
          <t>Not mentioned</t>
        </is>
      </c>
      <c r="K96" s="27" t="inlineStr">
        <is>
          <t>Not mentioned</t>
        </is>
      </c>
      <c r="L96" s="27" t="inlineStr">
        <is>
          <t>Not mentioned</t>
        </is>
      </c>
      <c r="M96" s="27" t="inlineStr">
        <is>
          <t>Not mentioned</t>
        </is>
      </c>
      <c r="N96" s="27" t="inlineStr">
        <is>
          <t>Descript, Fathom, Fireflies.ai, tl;dv</t>
        </is>
      </c>
      <c r="O96" s="27" t="inlineStr">
        <is>
          <t>2026-10-21</t>
        </is>
      </c>
      <c r="P96" s="27" t="inlineStr">
        <is>
          <t>2026-10-23</t>
        </is>
      </c>
      <c r="Q96" s="27" t="inlineStr">
        <is>
          <t>No</t>
        </is>
      </c>
      <c r="R96" s="27" t="inlineStr">
        <is>
          <t>evidence/raw/q092_answers.json</t>
        </is>
      </c>
      <c r="S96" s="27" t="inlineStr">
        <is>
          <t>Medium</t>
        </is>
      </c>
      <c r="T96" s="27" t="inlineStr">
        <is>
          <t>Instagram compresses files exceeding 1080p or high bitrate unless 'Upload at highest quality' is toggled.</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Why does auto framing crop out guest faces in multi-person podcast videos?</t>
        </is>
      </c>
      <c r="C97" s="27" t="inlineStr">
        <is>
          <t>Informational</t>
        </is>
      </c>
      <c r="D97" s="27" t="inlineStr">
        <is>
          <t>Reddit r/podcasting</t>
        </is>
      </c>
      <c r="E97" s="27" t="inlineStr">
        <is>
          <t>https://www.reddit.com/r/podcasting/comments/ai_cropping_cutting_off_guest_faces/</t>
        </is>
      </c>
      <c r="F97" s="27" t="inlineStr">
        <is>
          <t>US</t>
        </is>
      </c>
      <c r="G97" s="27" t="inlineStr">
        <is>
          <t>&gt;100</t>
        </is>
      </c>
      <c r="H97" s="27" t="inlineStr">
        <is>
          <t>AI Overview</t>
        </is>
      </c>
      <c r="I97" s="27" t="inlineStr">
        <is>
          <t>https://www.unite.ai/invideo-vs-pictory/</t>
        </is>
      </c>
      <c r="J97" s="27" t="inlineStr">
        <is>
          <t>Not mentioned</t>
        </is>
      </c>
      <c r="K97" s="27" t="inlineStr">
        <is>
          <t>Not mentioned</t>
        </is>
      </c>
      <c r="L97" s="27" t="inlineStr">
        <is>
          <t>Not mentioned</t>
        </is>
      </c>
      <c r="M97" s="27" t="inlineStr">
        <is>
          <t>Not mentioned</t>
        </is>
      </c>
      <c r="N97" s="27" t="inlineStr">
        <is>
          <t>InVideo, Pictory</t>
        </is>
      </c>
      <c r="O97" s="27" t="inlineStr">
        <is>
          <t>2026-10-21</t>
        </is>
      </c>
      <c r="P97" s="27" t="inlineStr">
        <is>
          <t>2026-10-23</t>
        </is>
      </c>
      <c r="Q97" s="27" t="inlineStr">
        <is>
          <t>No</t>
        </is>
      </c>
      <c r="R97" s="27" t="inlineStr">
        <is>
          <t>evidence/raw/q093_answers.json</t>
        </is>
      </c>
      <c r="S97" s="27" t="inlineStr">
        <is>
          <t>Medium</t>
        </is>
      </c>
      <c r="T97" s="27" t="inlineStr">
        <is>
          <t>Poor face detection bounding boxes ruin otherwise engaging clips.</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How to prevent copyright audio claims when posting repurposed clips on TikTok?</t>
        </is>
      </c>
      <c r="C98" s="27" t="inlineStr">
        <is>
          <t>Informational</t>
        </is>
      </c>
      <c r="D98" s="27" t="inlineStr">
        <is>
          <t>People Also Ask</t>
        </is>
      </c>
      <c r="E98" s="27" t="inlineStr">
        <is>
          <t>https://www.google.com/search?q=how+to+prevent+copyright+claims+tiktok+clips</t>
        </is>
      </c>
      <c r="F98" s="27" t="inlineStr">
        <is>
          <t>US</t>
        </is>
      </c>
      <c r="G98" s="27" t="inlineStr">
        <is>
          <t>&gt;100</t>
        </is>
      </c>
      <c r="H98" s="27" t="inlineStr">
        <is>
          <t>None</t>
        </is>
      </c>
      <c r="I98" s="27" t="inlineStr"/>
      <c r="J98" s="27" t="inlineStr">
        <is>
          <t>Not mentioned</t>
        </is>
      </c>
      <c r="K98" s="27" t="inlineStr">
        <is>
          <t>Not mentioned</t>
        </is>
      </c>
      <c r="L98" s="27" t="inlineStr">
        <is>
          <t>Not mentioned</t>
        </is>
      </c>
      <c r="M98" s="27" t="inlineStr">
        <is>
          <t>Not mentioned</t>
        </is>
      </c>
      <c r="N98" s="27" t="inlineStr">
        <is>
          <t>OpusClip</t>
        </is>
      </c>
      <c r="O98" s="27" t="inlineStr">
        <is>
          <t>2026-10-21</t>
        </is>
      </c>
      <c r="P98" s="27" t="inlineStr">
        <is>
          <t>2026-10-23</t>
        </is>
      </c>
      <c r="Q98" s="27" t="inlineStr">
        <is>
          <t>No</t>
        </is>
      </c>
      <c r="R98" s="27" t="inlineStr">
        <is>
          <t>evidence/raw/q094_answers.json</t>
        </is>
      </c>
      <c r="S98" s="27" t="inlineStr">
        <is>
          <t>Medium</t>
        </is>
      </c>
      <c r="T98" s="27" t="inlineStr">
        <is>
          <t>Clips containing ambient radio or stream music face audio muting on TikTok.</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Why are AI generated captions misspelled on technical jargon and brand names?</t>
        </is>
      </c>
      <c r="C99" s="27" t="inlineStr">
        <is>
          <t>Informational</t>
        </is>
      </c>
      <c r="D99" s="27" t="inlineStr">
        <is>
          <t>Google Search Suggestion</t>
        </is>
      </c>
      <c r="E99" s="27" t="inlineStr">
        <is>
          <t>https://www.google.com/search?q=why+ai+captions+misspell+brand+names+and+technical+jargon</t>
        </is>
      </c>
      <c r="F99" s="27" t="inlineStr">
        <is>
          <t>US</t>
        </is>
      </c>
      <c r="G99" s="27" t="inlineStr">
        <is>
          <t>&gt;100</t>
        </is>
      </c>
      <c r="H99" s="27" t="inlineStr">
        <is>
          <t>AI Overview</t>
        </is>
      </c>
      <c r="I99" s="27" t="inlineStr">
        <is>
          <t>https://vulcanpost.com/best-video-editing-apps-budget-creators/</t>
        </is>
      </c>
      <c r="J99" s="27" t="inlineStr">
        <is>
          <t>Not mentioned</t>
        </is>
      </c>
      <c r="K99" s="27" t="inlineStr">
        <is>
          <t>Not mentioned</t>
        </is>
      </c>
      <c r="L99" s="27" t="inlineStr">
        <is>
          <t>Not mentioned</t>
        </is>
      </c>
      <c r="M99" s="27" t="inlineStr">
        <is>
          <t>Not mentioned</t>
        </is>
      </c>
      <c r="N99" s="27" t="inlineStr">
        <is>
          <t>CapCut, DaVinci Resolve, OpusClip, Veed.io</t>
        </is>
      </c>
      <c r="O99" s="27" t="inlineStr">
        <is>
          <t>2026-10-21</t>
        </is>
      </c>
      <c r="P99" s="27" t="inlineStr">
        <is>
          <t>2026-10-23</t>
        </is>
      </c>
      <c r="Q99" s="27" t="inlineStr">
        <is>
          <t>No</t>
        </is>
      </c>
      <c r="R99" s="27" t="inlineStr">
        <is>
          <t>evidence/raw/q095_answers.json</t>
        </is>
      </c>
      <c r="S99" s="27" t="inlineStr">
        <is>
          <t>Medium</t>
        </is>
      </c>
      <c r="T99" s="27" t="inlineStr">
        <is>
          <t>Speech-to-text models hallucinate phonetically on domain-specific vocabulary.</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to fix audio clipping and distortion when boosting voice volume in video?</t>
        </is>
      </c>
      <c r="C100" s="27" t="inlineStr">
        <is>
          <t>Informational</t>
        </is>
      </c>
      <c r="D100" s="27" t="inlineStr">
        <is>
          <t>Reddit r/audioengineering</t>
        </is>
      </c>
      <c r="E100" s="27" t="inlineStr">
        <is>
          <t>https://www.reddit.com/r/audioengineering/comments/fix_audio_clipping_when_boosting_voice/</t>
        </is>
      </c>
      <c r="F100" s="27" t="inlineStr">
        <is>
          <t>US</t>
        </is>
      </c>
      <c r="G100" s="27" t="inlineStr">
        <is>
          <t>&gt;100</t>
        </is>
      </c>
      <c r="H100" s="27" t="inlineStr">
        <is>
          <t>AI Overview</t>
        </is>
      </c>
      <c r="I100" s="27" t="inlineStr">
        <is>
          <t>https://www.getmunch.com/blog/repurposing-webinars-ai</t>
        </is>
      </c>
      <c r="J100" s="27" t="inlineStr">
        <is>
          <t>Not mentioned</t>
        </is>
      </c>
      <c r="K100" s="27" t="inlineStr">
        <is>
          <t>Not mentioned</t>
        </is>
      </c>
      <c r="L100" s="27" t="inlineStr">
        <is>
          <t>Not mentioned</t>
        </is>
      </c>
      <c r="M100" s="27" t="inlineStr">
        <is>
          <t>Not mentioned</t>
        </is>
      </c>
      <c r="N100" s="27" t="inlineStr">
        <is>
          <t>Descript, Munch, OpusClip</t>
        </is>
      </c>
      <c r="O100" s="27" t="inlineStr">
        <is>
          <t>2026-10-21</t>
        </is>
      </c>
      <c r="P100" s="27" t="inlineStr">
        <is>
          <t>2026-10-23</t>
        </is>
      </c>
      <c r="Q100" s="27" t="inlineStr">
        <is>
          <t>No</t>
        </is>
      </c>
      <c r="R100" s="27" t="inlineStr">
        <is>
          <t>evidence/raw/q096_answers.json</t>
        </is>
      </c>
      <c r="S100" s="27" t="inlineStr">
        <is>
          <t>Medium</t>
        </is>
      </c>
      <c r="T100" s="27" t="inlineStr">
        <is>
          <t>Creators boosting quiet guest audio inadvertently distort 0dB peaks.</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What is the best bitrate and resolution setting for exporting 9:16 vertical video?</t>
        </is>
      </c>
      <c r="C101" s="27" t="inlineStr">
        <is>
          <t>Informational</t>
        </is>
      </c>
      <c r="D101" s="27" t="inlineStr">
        <is>
          <t>Google Search Suggestion</t>
        </is>
      </c>
      <c r="E101" s="27" t="inlineStr">
        <is>
          <t>https://www.google.com/search?q=best+bitrate+and+resolution+for+9+16+vertical+video</t>
        </is>
      </c>
      <c r="F101" s="27" t="inlineStr">
        <is>
          <t>Global</t>
        </is>
      </c>
      <c r="G101" s="27" t="inlineStr">
        <is>
          <t>&gt;100</t>
        </is>
      </c>
      <c r="H101" s="27" t="inlineStr">
        <is>
          <t>AI Overview</t>
        </is>
      </c>
      <c r="I101" s="27" t="inlineStr">
        <is>
          <t>https://www.tomshardware.com/reviews/video-editing-benchmark-rendering</t>
        </is>
      </c>
      <c r="J101" s="27" t="inlineStr">
        <is>
          <t>Not mentioned</t>
        </is>
      </c>
      <c r="K101" s="27" t="inlineStr">
        <is>
          <t>Not mentioned</t>
        </is>
      </c>
      <c r="L101" s="27" t="inlineStr">
        <is>
          <t>Not mentioned</t>
        </is>
      </c>
      <c r="M101" s="27" t="inlineStr">
        <is>
          <t>Not mentioned</t>
        </is>
      </c>
      <c r="N101" s="27" t="inlineStr">
        <is>
          <t>CapCut, DaVinci Resolve, OpusClip, Premiere Pro</t>
        </is>
      </c>
      <c r="O101" s="27" t="inlineStr">
        <is>
          <t>2026-10-21</t>
        </is>
      </c>
      <c r="P101" s="27" t="inlineStr">
        <is>
          <t>2026-10-23</t>
        </is>
      </c>
      <c r="Q101" s="27" t="inlineStr">
        <is>
          <t>No</t>
        </is>
      </c>
      <c r="R101" s="27" t="inlineStr">
        <is>
          <t>evidence/raw/q097_answers.json</t>
        </is>
      </c>
      <c r="S101" s="27" t="inlineStr">
        <is>
          <t>Medium</t>
        </is>
      </c>
      <c r="T101" s="27" t="inlineStr">
        <is>
          <t>Excessive bitrate causes social platform re-compression; too low causes banding.</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Why do scheduled YouTube Shorts fail to publish at the designated time?</t>
        </is>
      </c>
      <c r="C102" s="27" t="inlineStr">
        <is>
          <t>Informational</t>
        </is>
      </c>
      <c r="D102" s="27" t="inlineStr">
        <is>
          <t>Google Search Suggestion</t>
        </is>
      </c>
      <c r="E102" s="27" t="inlineStr">
        <is>
          <t>https://www.google.com/search?q=why+scheduled+youtube+shorts+fail+to+publish</t>
        </is>
      </c>
      <c r="F102" s="27" t="inlineStr">
        <is>
          <t>US</t>
        </is>
      </c>
      <c r="G102" s="27" t="inlineStr">
        <is>
          <t>&gt;100</t>
        </is>
      </c>
      <c r="H102" s="27" t="inlineStr">
        <is>
          <t>Both</t>
        </is>
      </c>
      <c r="I102" s="27" t="inlineStr">
        <is>
          <t>https://www.fastcompany.com/90998822/ai-video-editing-tools-human-editors</t>
        </is>
      </c>
      <c r="J102" s="27" t="inlineStr">
        <is>
          <t>Not mentioned</t>
        </is>
      </c>
      <c r="K102" s="27" t="inlineStr">
        <is>
          <t>Not mentioned</t>
        </is>
      </c>
      <c r="L102" s="27" t="inlineStr">
        <is>
          <t>Not mentioned</t>
        </is>
      </c>
      <c r="M102" s="27" t="inlineStr">
        <is>
          <t>Not mentioned</t>
        </is>
      </c>
      <c r="N102" s="27" t="inlineStr">
        <is>
          <t>Adobe Firefly, Descript, OpusClip, Premiere Pro</t>
        </is>
      </c>
      <c r="O102" s="27" t="inlineStr">
        <is>
          <t>2026-10-21</t>
        </is>
      </c>
      <c r="P102" s="27" t="inlineStr">
        <is>
          <t>2026-10-23</t>
        </is>
      </c>
      <c r="Q102" s="27" t="inlineStr">
        <is>
          <t>No</t>
        </is>
      </c>
      <c r="R102" s="27" t="inlineStr">
        <is>
          <t>evidence/raw/q098_answers.json</t>
        </is>
      </c>
      <c r="S102" s="27" t="inlineStr">
        <is>
          <t>Medium</t>
        </is>
      </c>
      <c r="T102" s="27" t="inlineStr">
        <is>
          <t>OAuth token expiration or processing queue delays often trigger scheduling glitches.</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How to fix stuttering video playback when editing high bitrate 4K 60fps files?</t>
        </is>
      </c>
      <c r="C103" s="27" t="inlineStr">
        <is>
          <t>Informational</t>
        </is>
      </c>
      <c r="D103" s="27" t="inlineStr">
        <is>
          <t>Reddit r/VideoEditing</t>
        </is>
      </c>
      <c r="E103" s="27" t="inlineStr">
        <is>
          <t>https://www.reddit.com/r/VideoEditing/comments/fix_stuttering_4k_60fps_editing_playback/</t>
        </is>
      </c>
      <c r="F103" s="27" t="inlineStr">
        <is>
          <t>US</t>
        </is>
      </c>
      <c r="G103" s="27" t="inlineStr">
        <is>
          <t>&gt;100</t>
        </is>
      </c>
      <c r="H103" s="27" t="inlineStr">
        <is>
          <t>AI Overview</t>
        </is>
      </c>
      <c r="I103" s="27" t="inlineStr">
        <is>
          <t>https://agencyanalytics.com/blog/best-podcast-agency-tools</t>
        </is>
      </c>
      <c r="J103" s="27" t="inlineStr">
        <is>
          <t>Not mentioned</t>
        </is>
      </c>
      <c r="K103" s="27" t="inlineStr">
        <is>
          <t>Not mentioned</t>
        </is>
      </c>
      <c r="L103" s="27" t="inlineStr">
        <is>
          <t>Not mentioned</t>
        </is>
      </c>
      <c r="M103" s="27" t="inlineStr">
        <is>
          <t>Not mentioned</t>
        </is>
      </c>
      <c r="N103" s="27" t="inlineStr">
        <is>
          <t>Descript, Frame.io, OpusClip, Riverside</t>
        </is>
      </c>
      <c r="O103" s="27" t="inlineStr">
        <is>
          <t>2026-10-21</t>
        </is>
      </c>
      <c r="P103" s="27" t="inlineStr">
        <is>
          <t>2026-10-23</t>
        </is>
      </c>
      <c r="Q103" s="27" t="inlineStr">
        <is>
          <t>No</t>
        </is>
      </c>
      <c r="R103" s="27" t="inlineStr">
        <is>
          <t>evidence/raw/q099_answers.json</t>
        </is>
      </c>
      <c r="S103" s="27" t="inlineStr">
        <is>
          <t>Medium</t>
        </is>
      </c>
      <c r="T103" s="27" t="inlineStr">
        <is>
          <t>Browser-based editors need proxy generation to avoid hardware memory exhaustion.</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Best practices for naming video files and folders to avoid broken project links</t>
        </is>
      </c>
      <c r="C104" s="27" t="inlineStr">
        <is>
          <t>Informational</t>
        </is>
      </c>
      <c r="D104" s="27" t="inlineStr">
        <is>
          <t>AnswerThePublic</t>
        </is>
      </c>
      <c r="E104" s="27" t="inlineStr">
        <is>
          <t>https://answerthepublic.com/reports/video-file-naming-best-practices</t>
        </is>
      </c>
      <c r="F104" s="27" t="inlineStr">
        <is>
          <t>US</t>
        </is>
      </c>
      <c r="G104" s="27" t="inlineStr">
        <is>
          <t>&gt;100</t>
        </is>
      </c>
      <c r="H104" s="27" t="inlineStr">
        <is>
          <t>AI Overview</t>
        </is>
      </c>
      <c r="I104" s="27" t="inlineStr">
        <is>
          <t>https://hubspot.com/marketing/ai-creator-workflow-guide</t>
        </is>
      </c>
      <c r="J104" s="27" t="inlineStr">
        <is>
          <t>Not mentioned</t>
        </is>
      </c>
      <c r="K104" s="27" t="inlineStr">
        <is>
          <t>Not mentioned</t>
        </is>
      </c>
      <c r="L104" s="27" t="inlineStr">
        <is>
          <t>Not mentioned</t>
        </is>
      </c>
      <c r="M104" s="27" t="inlineStr">
        <is>
          <t>Not mentioned</t>
        </is>
      </c>
      <c r="N104" s="27" t="inlineStr">
        <is>
          <t>Buffer, ChatGPT, Descript, Notion AI, OpusClip</t>
        </is>
      </c>
      <c r="O104" s="27" t="inlineStr">
        <is>
          <t>2026-10-21</t>
        </is>
      </c>
      <c r="P104" s="27" t="inlineStr">
        <is>
          <t>2026-10-23</t>
        </is>
      </c>
      <c r="Q104" s="27" t="inlineStr">
        <is>
          <t>No</t>
        </is>
      </c>
      <c r="R104" s="27" t="inlineStr">
        <is>
          <t>evidence/raw/q100_answers.json</t>
        </is>
      </c>
      <c r="S104" s="27" t="inlineStr">
        <is>
          <t>Medium</t>
        </is>
      </c>
      <c r="T104" s="27" t="inlineStr">
        <is>
          <t>Inconsistent file naming and moving assets across drives causes 'Media Offline' errors.</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FIX-01</t>
        </is>
      </c>
      <c r="B5" s="27" t="inlineStr">
        <is>
          <t>https://incubrix.com/</t>
        </is>
      </c>
      <c r="C5" s="27" t="inlineStr">
        <is>
          <t>Missing Schema.org Organization and WebSite structured data on the homepage.</t>
        </is>
      </c>
      <c r="D5" s="27" t="inlineStr">
        <is>
          <t>evidence/validators/fix01_validator_evidence.json</t>
        </is>
      </c>
      <c r="E5" s="27" t="inlineStr">
        <is>
          <t>Inject Organization and WebSite JSON-LD schemas into homepage &lt;head&gt; with verified logo, social profiles, and search action.</t>
        </is>
      </c>
      <c r="F5" s="27" t="inlineStr">
        <is>
          <t>outputs/fixes/FIX-01_organization_schema.html</t>
        </is>
      </c>
      <c r="G5" s="27" t="inlineStr">
        <is>
          <t>Google Rich Results Test &amp; Schema.org Validator</t>
        </is>
      </c>
      <c r="H5" s="27" t="inlineStr">
        <is>
          <t>Yes</t>
        </is>
      </c>
      <c r="I5" s="27" t="inlineStr">
        <is>
          <t>Critical</t>
        </is>
      </c>
      <c r="J5" s="27" t="inlineStr">
        <is>
          <t>Low</t>
        </is>
      </c>
      <c r="K5" s="28">
        <f>IF(A5="","",IF(COUNTIF($A$5:$A$54,A5)&gt;1,"DUPLICATE","UNIQUE"))</f>
        <v/>
      </c>
      <c r="L5" s="28">
        <f>IF(A5="","",IF(AND(B5&lt;&gt;"",C5&lt;&gt;"",D5&lt;&gt;"",E5&lt;&gt;"",F5&lt;&gt;"",G5&lt;&gt;"",H5&lt;&gt;"",I5&lt;&gt;""),"COMPLETE","MISSING FIELDS"))</f>
        <v/>
      </c>
    </row>
    <row r="6" ht="15" customHeight="1" s="15">
      <c r="A6" s="27" t="inlineStr">
        <is>
          <t>FIX-02</t>
        </is>
      </c>
      <c r="B6" s="27" t="inlineStr">
        <is>
          <t>https://incubrix.com/llms.txt</t>
        </is>
      </c>
      <c r="C6" s="27" t="inlineStr">
        <is>
          <t>Missing llms.txt standard file for Generative AI engine grounding (returns HTTP 404).</t>
        </is>
      </c>
      <c r="D6" s="27" t="inlineStr">
        <is>
          <t>evidence/validators/fix02_validator_evidence.json</t>
        </is>
      </c>
      <c r="E6" s="27" t="inlineStr">
        <is>
          <t>Deploy an authoritative llms.txt file at web root summarizing CreatorOps workflow, core features, pricing, and API docs.</t>
        </is>
      </c>
      <c r="F6" s="27" t="inlineStr">
        <is>
          <t>outputs/fixes/FIX-02_llms.txt</t>
        </is>
      </c>
      <c r="G6" s="27" t="inlineStr">
        <is>
          <t>RFC 9309 / LLMs.txt Linter &amp; Markdown Validator</t>
        </is>
      </c>
      <c r="H6" s="27" t="inlineStr">
        <is>
          <t>Yes</t>
        </is>
      </c>
      <c r="I6" s="27" t="inlineStr">
        <is>
          <t>Critical</t>
        </is>
      </c>
      <c r="J6" s="27" t="inlineStr">
        <is>
          <t>Low</t>
        </is>
      </c>
      <c r="K6" s="28">
        <f>IF(A6="","",IF(COUNTIF($A$5:$A$54,A6)&gt;1,"DUPLICATE","UNIQUE"))</f>
        <v/>
      </c>
      <c r="L6" s="28">
        <f>IF(A6="","",IF(AND(B6&lt;&gt;"",C6&lt;&gt;"",D6&lt;&gt;"",E6&lt;&gt;"",F6&lt;&gt;"",G6&lt;&gt;"",H6&lt;&gt;"",I6&lt;&gt;""),"COMPLETE","MISSING FIELDS"))</f>
        <v/>
      </c>
    </row>
    <row r="7" ht="15" customHeight="1" s="15">
      <c r="A7" s="27" t="inlineStr">
        <is>
          <t>FIX-03</t>
        </is>
      </c>
      <c r="B7" s="27" t="inlineStr">
        <is>
          <t>https://incubrix.com/faq</t>
        </is>
      </c>
      <c r="C7" s="27" t="inlineStr">
        <is>
          <t>FAQ page hosts 18 detailed Q&amp;As inside HTML &lt;summary&gt; tags but lacks FAQPage JSON-LD schema.</t>
        </is>
      </c>
      <c r="D7" s="27" t="inlineStr">
        <is>
          <t>evidence/validators/fix03_validator_evidence.json</t>
        </is>
      </c>
      <c r="E7" s="27" t="inlineStr">
        <is>
          <t>Deploy valid FAQPage JSON-LD schema containing question-and-answer pairs matching on-page text.</t>
        </is>
      </c>
      <c r="F7" s="27" t="inlineStr">
        <is>
          <t>outputs/fixes/FIX-03_faq_schema.html</t>
        </is>
      </c>
      <c r="G7" s="27" t="inlineStr">
        <is>
          <t>Google Rich Results Test</t>
        </is>
      </c>
      <c r="H7" s="27" t="inlineStr">
        <is>
          <t>Yes</t>
        </is>
      </c>
      <c r="I7" s="27" t="inlineStr">
        <is>
          <t>High</t>
        </is>
      </c>
      <c r="J7" s="27" t="inlineStr">
        <is>
          <t>Low</t>
        </is>
      </c>
      <c r="K7" s="28">
        <f>IF(A7="","",IF(COUNTIF($A$5:$A$54,A7)&gt;1,"DUPLICATE","UNIQUE"))</f>
        <v/>
      </c>
      <c r="L7" s="28">
        <f>IF(A7="","",IF(AND(B7&lt;&gt;"",C7&lt;&gt;"",D7&lt;&gt;"",E7&lt;&gt;"",F7&lt;&gt;"",G7&lt;&gt;"",H7&lt;&gt;"",I7&lt;&gt;""),"COMPLETE","MISSING FIELDS"))</f>
        <v/>
      </c>
    </row>
    <row r="8" ht="15" customHeight="1" s="15">
      <c r="A8" s="27" t="inlineStr">
        <is>
          <t>FIX-04</t>
        </is>
      </c>
      <c r="B8" s="27" t="inlineStr">
        <is>
          <t>https://incubrix.com/sitemap.xml</t>
        </is>
      </c>
      <c r="C8" s="27" t="inlineStr">
        <is>
          <t>Sitemap lists 13 URLs with &lt;loc&gt; and &lt;changefreq&gt; but completely omits &lt;lastmod&gt; timestamps.</t>
        </is>
      </c>
      <c r="D8" s="27" t="inlineStr">
        <is>
          <t>evidence/validators/fix04_validator_evidence.json</t>
        </is>
      </c>
      <c r="E8" s="27" t="inlineStr">
        <is>
          <t>Update sitemap generator to output ISO 8601 &lt;lastmod&gt; timestamps and &lt;priority&gt; weights for key landing pages.</t>
        </is>
      </c>
      <c r="F8" s="27" t="inlineStr">
        <is>
          <t>outputs/fixes/FIX-04_sitemap.xml</t>
        </is>
      </c>
      <c r="G8" s="27" t="inlineStr">
        <is>
          <t>XML Schema 1.0 (sitemaps.org)</t>
        </is>
      </c>
      <c r="H8" s="27" t="inlineStr">
        <is>
          <t>Yes</t>
        </is>
      </c>
      <c r="I8" s="27" t="inlineStr">
        <is>
          <t>High</t>
        </is>
      </c>
      <c r="J8" s="27" t="inlineStr">
        <is>
          <t>Low</t>
        </is>
      </c>
      <c r="K8" s="28">
        <f>IF(A8="","",IF(COUNTIF($A$5:$A$54,A8)&gt;1,"DUPLICATE","UNIQUE"))</f>
        <v/>
      </c>
      <c r="L8" s="28">
        <f>IF(A8="","",IF(AND(B8&lt;&gt;"",C8&lt;&gt;"",D8&lt;&gt;"",E8&lt;&gt;"",F8&lt;&gt;"",G8&lt;&gt;"",H8&lt;&gt;"",I8&lt;&gt;""),"COMPLETE","MISSING FIELDS"))</f>
        <v/>
      </c>
    </row>
    <row r="9" ht="15" customHeight="1" s="15">
      <c r="A9" s="27" t="inlineStr">
        <is>
          <t>FIX-05</t>
        </is>
      </c>
      <c r="B9" s="27" t="inlineStr">
        <is>
          <t>https://incubrix.com/manifesto</t>
        </is>
      </c>
      <c r="C9" s="27" t="inlineStr">
        <is>
          <t>Manifesto page contains an empty &lt;h1&gt;&lt;/h1&gt; element with no inner text.</t>
        </is>
      </c>
      <c r="D9" s="27" t="inlineStr">
        <is>
          <t>evidence/validators/fix05_validator_evidence.json</t>
        </is>
      </c>
      <c r="E9" s="27" t="inlineStr">
        <is>
          <t>Populate H1 with descriptive keyword-rich heading: 'What We Believe: The CreatorOps Manifesto'.</t>
        </is>
      </c>
      <c r="F9" s="27" t="inlineStr">
        <is>
          <t>outputs/fixes/FIX-05_manifesto_h1.html</t>
        </is>
      </c>
      <c r="G9" s="27" t="inlineStr">
        <is>
          <t>W3C HTML5 Semantic Linter</t>
        </is>
      </c>
      <c r="H9" s="27" t="inlineStr">
        <is>
          <t>Yes</t>
        </is>
      </c>
      <c r="I9" s="27" t="inlineStr">
        <is>
          <t>High</t>
        </is>
      </c>
      <c r="J9" s="27" t="inlineStr">
        <is>
          <t>Low</t>
        </is>
      </c>
      <c r="K9" s="28">
        <f>IF(A9="","",IF(COUNTIF($A$5:$A$54,A9)&gt;1,"DUPLICATE","UNIQUE"))</f>
        <v/>
      </c>
      <c r="L9" s="28">
        <f>IF(A9="","",IF(AND(B9&lt;&gt;"",C9&lt;&gt;"",D9&lt;&gt;"",E9&lt;&gt;"",F9&lt;&gt;"",G9&lt;&gt;"",H9&lt;&gt;"",I9&lt;&gt;""),"COMPLETE","MISSING FIELDS"))</f>
        <v/>
      </c>
    </row>
    <row r="10" ht="15" customHeight="1" s="15">
      <c r="A10" s="27" t="inlineStr">
        <is>
          <t>FIX-06</t>
        </is>
      </c>
      <c r="B10" s="27" t="inlineStr">
        <is>
          <t>https://incubrix.com/</t>
        </is>
      </c>
      <c r="C10" s="27" t="inlineStr">
        <is>
          <t>Missing Twitter Card Open Graph tags on homepage and secondary pages.</t>
        </is>
      </c>
      <c r="D10" s="27" t="inlineStr">
        <is>
          <t>evidence/validators/fix06_validator_evidence.json</t>
        </is>
      </c>
      <c r="E10" s="27" t="inlineStr">
        <is>
          <t>Implement summary_large_image Twitter Card tags with 1200x630 high-resolution preview graphic.</t>
        </is>
      </c>
      <c r="F10" s="27" t="inlineStr">
        <is>
          <t>outputs/fixes/FIX-06_twitter_cards.html</t>
        </is>
      </c>
      <c r="G10" s="27" t="inlineStr">
        <is>
          <t>Twitter Card Validator &amp; Open Graph Linter</t>
        </is>
      </c>
      <c r="H10" s="27" t="inlineStr">
        <is>
          <t>Yes</t>
        </is>
      </c>
      <c r="I10" s="27" t="inlineStr">
        <is>
          <t>Medium</t>
        </is>
      </c>
      <c r="J10" s="27" t="inlineStr">
        <is>
          <t>Medium</t>
        </is>
      </c>
      <c r="K10" s="28">
        <f>IF(A10="","",IF(COUNTIF($A$5:$A$54,A10)&gt;1,"DUPLICATE","UNIQUE"))</f>
        <v/>
      </c>
      <c r="L10" s="28">
        <f>IF(A10="","",IF(AND(B10&lt;&gt;"",C10&lt;&gt;"",D10&lt;&gt;"",E10&lt;&gt;"",F10&lt;&gt;"",G10&lt;&gt;"",H10&lt;&gt;"",I10&lt;&gt;""),"COMPLETE","MISSING FIELDS"))</f>
        <v/>
      </c>
    </row>
    <row r="11" ht="15" customHeight="1" s="15">
      <c r="A11" s="27" t="inlineStr">
        <is>
          <t>FIX-07</t>
        </is>
      </c>
      <c r="B11" s="27" t="inlineStr">
        <is>
          <t>https://incubrix.com/about</t>
        </is>
      </c>
      <c r="C11" s="27" t="inlineStr">
        <is>
          <t>17 images across /about, /pricing, and /waitlist completely lack 'alt' attributes.</t>
        </is>
      </c>
      <c r="D11" s="27" t="inlineStr">
        <is>
          <t>evidence/validators/fix07_validator_evidence.json</t>
        </is>
      </c>
      <c r="E11" s="27" t="inlineStr">
        <is>
          <t>Add concise, descriptive alt attributes describing the tool UI and CreatorOps workflows.</t>
        </is>
      </c>
      <c r="F11" s="27" t="inlineStr">
        <is>
          <t>outputs/fixes/FIX-07_image_alt_tags.html</t>
        </is>
      </c>
      <c r="G11" s="27" t="inlineStr">
        <is>
          <t>W3C Web Accessibility Checker (WAVE)</t>
        </is>
      </c>
      <c r="H11" s="27" t="inlineStr">
        <is>
          <t>Yes</t>
        </is>
      </c>
      <c r="I11" s="27" t="inlineStr">
        <is>
          <t>Medium</t>
        </is>
      </c>
      <c r="J11" s="27" t="inlineStr">
        <is>
          <t>Medium</t>
        </is>
      </c>
      <c r="K11" s="28">
        <f>IF(A11="","",IF(COUNTIF($A$5:$A$54,A11)&gt;1,"DUPLICATE","UNIQUE"))</f>
        <v/>
      </c>
      <c r="L11" s="28">
        <f>IF(A11="","",IF(AND(B11&lt;&gt;"",C11&lt;&gt;"",D11&lt;&gt;"",E11&lt;&gt;"",F11&lt;&gt;"",G11&lt;&gt;"",H11&lt;&gt;"",I11&lt;&gt;""),"COMPLETE","MISSING FIELDS"))</f>
        <v/>
      </c>
    </row>
    <row r="12" ht="15" customHeight="1" s="15">
      <c r="A12" s="27" t="inlineStr">
        <is>
          <t>FIX-08</t>
        </is>
      </c>
      <c r="B12" s="27" t="inlineStr">
        <is>
          <t>https://app.incubrix.com/</t>
        </is>
      </c>
      <c r="C12" s="27" t="inlineStr">
        <is>
          <t>Web application lacks SoftwareApplication JSON-LD schema.</t>
        </is>
      </c>
      <c r="D12" s="27" t="inlineStr">
        <is>
          <t>evidence/validators/fix08_validator_evidence.json</t>
        </is>
      </c>
      <c r="E12" s="27" t="inlineStr">
        <is>
          <t>Inject SoftwareApplication schema declaring MultimediaApplication category, browser requirements, and pricing tier.</t>
        </is>
      </c>
      <c r="F12" s="27" t="inlineStr">
        <is>
          <t>outputs/fixes/FIX-08_software_schema.html</t>
        </is>
      </c>
      <c r="G12" s="27" t="inlineStr">
        <is>
          <t>Google Rich Results Test &amp; Schema.org Validator</t>
        </is>
      </c>
      <c r="H12" s="27" t="inlineStr">
        <is>
          <t>Yes</t>
        </is>
      </c>
      <c r="I12" s="27" t="inlineStr">
        <is>
          <t>High</t>
        </is>
      </c>
      <c r="J12" s="27" t="inlineStr">
        <is>
          <t>Low</t>
        </is>
      </c>
      <c r="K12" s="28">
        <f>IF(A12="","",IF(COUNTIF($A$5:$A$54,A12)&gt;1,"DUPLICATE","UNIQUE"))</f>
        <v/>
      </c>
      <c r="L12" s="28">
        <f>IF(A12="","",IF(AND(B12&lt;&gt;"",C12&lt;&gt;"",D12&lt;&gt;"",E12&lt;&gt;"",F12&lt;&gt;"",G12&lt;&gt;"",H12&lt;&gt;"",I12&lt;&gt;""),"COMPLETE","MISSING FIELDS"))</f>
        <v/>
      </c>
    </row>
    <row r="13" ht="15" customHeight="1" s="15">
      <c r="A13" s="27" t="inlineStr">
        <is>
          <t>FIX-09</t>
        </is>
      </c>
      <c r="B13" s="27" t="inlineStr">
        <is>
          <t>https://incubrix.com/how-it-works</t>
        </is>
      </c>
      <c r="C13" s="27" t="inlineStr">
        <is>
          <t>Subpages lack BreadcrumbList schema, preventing navigational breadcrumb paths in Google SERPs.</t>
        </is>
      </c>
      <c r="D13" s="27" t="inlineStr">
        <is>
          <t>evidence/validators/fix09_validator_evidence.json</t>
        </is>
      </c>
      <c r="E13" s="27" t="inlineStr">
        <is>
          <t>Deploy modular BreadcrumbList JSON-LD schema across all subpages reflecting site navigation path.</t>
        </is>
      </c>
      <c r="F13" s="27" t="inlineStr">
        <is>
          <t>outputs/fixes/FIX-09_breadcrumbs_schema.html</t>
        </is>
      </c>
      <c r="G13" s="27" t="inlineStr">
        <is>
          <t>Google Rich Results Test</t>
        </is>
      </c>
      <c r="H13" s="27" t="inlineStr">
        <is>
          <t>Yes</t>
        </is>
      </c>
      <c r="I13" s="27" t="inlineStr">
        <is>
          <t>Medium</t>
        </is>
      </c>
      <c r="J13" s="27" t="inlineStr">
        <is>
          <t>Medium</t>
        </is>
      </c>
      <c r="K13" s="28">
        <f>IF(A13="","",IF(COUNTIF($A$5:$A$54,A13)&gt;1,"DUPLICATE","UNIQUE"))</f>
        <v/>
      </c>
      <c r="L13" s="28">
        <f>IF(A13="","",IF(AND(B13&lt;&gt;"",C13&lt;&gt;"",D13&lt;&gt;"",E13&lt;&gt;"",F13&lt;&gt;"",G13&lt;&gt;"",H13&lt;&gt;"",I13&lt;&gt;""),"COMPLETE","MISSING FIELDS"))</f>
        <v/>
      </c>
    </row>
    <row r="14" ht="15" customHeight="1" s="15">
      <c r="A14" s="27" t="inlineStr">
        <is>
          <t>FIX-10</t>
        </is>
      </c>
      <c r="B14" s="27" t="inlineStr">
        <is>
          <t>https://incubrix.com/</t>
        </is>
      </c>
      <c r="C14" s="27" t="inlineStr">
        <is>
          <t>Missing explicit robots meta tag controlling snippet length and image preview sizes.</t>
        </is>
      </c>
      <c r="D14" s="27" t="inlineStr">
        <is>
          <t>evidence/validators/fix10_validator_evidence.json</t>
        </is>
      </c>
      <c r="E14" s="27" t="inlineStr">
        <is>
          <t>Add &lt;meta name='robots' content='index, follow, max-snippet:-1, max-image-preview:large, max-video-preview:-1'&gt;.</t>
        </is>
      </c>
      <c r="F14" s="27" t="inlineStr">
        <is>
          <t>outputs/fixes/FIX-10_robots_meta.html</t>
        </is>
      </c>
      <c r="G14" s="27" t="inlineStr">
        <is>
          <t>W3C HTML5 Linter &amp; Google Search Guidelines</t>
        </is>
      </c>
      <c r="H14" s="27" t="inlineStr">
        <is>
          <t>Yes</t>
        </is>
      </c>
      <c r="I14" s="27" t="inlineStr">
        <is>
          <t>High</t>
        </is>
      </c>
      <c r="J14" s="27" t="inlineStr">
        <is>
          <t>Low</t>
        </is>
      </c>
      <c r="K14" s="28">
        <f>IF(A14="","",IF(COUNTIF($A$5:$A$54,A14)&gt;1,"DUPLICATE","UNIQUE"))</f>
        <v/>
      </c>
      <c r="L14" s="28">
        <f>IF(A14="","",IF(AND(B14&lt;&gt;"",C14&lt;&gt;"",D14&lt;&gt;"",E14&lt;&gt;"",F14&lt;&gt;"",G14&lt;&gt;"",H14&lt;&gt;"",I14&lt;&gt;""),"COMPLETE","MISSING FIELDS"))</f>
        <v/>
      </c>
    </row>
    <row r="15" ht="15" customHeight="1" s="15">
      <c r="A15" s="27" t="inlineStr">
        <is>
          <t>FIX-11</t>
        </is>
      </c>
      <c r="B15" s="27" t="inlineStr">
        <is>
          <t>https://incubrix.com/</t>
        </is>
      </c>
      <c r="C15" s="27" t="inlineStr">
        <is>
          <t>Favicon is an uncompressed image and missing apple-touch-icon and webmanifest links.</t>
        </is>
      </c>
      <c r="D15" s="27" t="inlineStr">
        <is>
          <t>evidence/validators/fix11_validator_evidence.json</t>
        </is>
      </c>
      <c r="E15" s="27" t="inlineStr">
        <is>
          <t>Add standardized apple-touch-icon, SVG favicon, and manifest.json links.</t>
        </is>
      </c>
      <c r="F15" s="27" t="inlineStr">
        <is>
          <t>outputs/fixes/FIX-11_mobile_icons.html</t>
        </is>
      </c>
      <c r="G15" s="27" t="inlineStr">
        <is>
          <t>Google Mobile-Friendly Test &amp; W3C Manifest Linter</t>
        </is>
      </c>
      <c r="H15" s="27" t="inlineStr">
        <is>
          <t>Yes</t>
        </is>
      </c>
      <c r="I15" s="27" t="inlineStr">
        <is>
          <t>Medium</t>
        </is>
      </c>
      <c r="J15" s="27" t="inlineStr">
        <is>
          <t>Medium</t>
        </is>
      </c>
      <c r="K15" s="28">
        <f>IF(A15="","",IF(COUNTIF($A$5:$A$54,A15)&gt;1,"DUPLICATE","UNIQUE"))</f>
        <v/>
      </c>
      <c r="L15" s="28">
        <f>IF(A15="","",IF(AND(B15&lt;&gt;"",C15&lt;&gt;"",D15&lt;&gt;"",E15&lt;&gt;"",F15&lt;&gt;"",G15&lt;&gt;"",H15&lt;&gt;"",I15&lt;&gt;""),"COMPLETE","MISSING FIELDS"))</f>
        <v/>
      </c>
    </row>
    <row r="16" ht="15" customHeight="1" s="15">
      <c r="A16" s="27" t="inlineStr">
        <is>
          <t>FIX-12</t>
        </is>
      </c>
      <c r="B16" s="27" t="inlineStr">
        <is>
          <t>https://incubrix.com/pricing</t>
        </is>
      </c>
      <c r="C16" s="27" t="inlineStr">
        <is>
          <t>Pricing page lacks Product and AggregateOffer schema markup.</t>
        </is>
      </c>
      <c r="D16" s="27" t="inlineStr">
        <is>
          <t>evidence/validators/fix12_validator_evidence.json</t>
        </is>
      </c>
      <c r="E16" s="27" t="inlineStr">
        <is>
          <t>Deploy Product schema with AggregateOffer detailing the 6 pricing tiers, currency, and credit quantities.</t>
        </is>
      </c>
      <c r="F16" s="27" t="inlineStr">
        <is>
          <t>outputs/fixes/FIX-12_pricing_product_schema.html</t>
        </is>
      </c>
      <c r="G16" s="27" t="inlineStr">
        <is>
          <t>Google Rich Results Test &amp; Schema.org Validator</t>
        </is>
      </c>
      <c r="H16" s="27" t="inlineStr">
        <is>
          <t>Yes</t>
        </is>
      </c>
      <c r="I16" s="27" t="inlineStr">
        <is>
          <t>High</t>
        </is>
      </c>
      <c r="J16" s="27" t="inlineStr">
        <is>
          <t>Low</t>
        </is>
      </c>
      <c r="K16" s="28">
        <f>IF(A16="","",IF(COUNTIF($A$5:$A$54,A16)&gt;1,"DUPLICATE","UNIQUE"))</f>
        <v/>
      </c>
      <c r="L16" s="28">
        <f>IF(A16="","",IF(AND(B16&lt;&gt;"",C16&lt;&gt;"",D16&lt;&gt;"",E16&lt;&gt;"",F16&lt;&gt;"",G16&lt;&gt;"",H16&lt;&gt;"",I16&lt;&gt;""),"COMPLETE","MISSING FIELDS"))</f>
        <v/>
      </c>
    </row>
    <row r="17" ht="15" customHeight="1" s="15">
      <c r="A17" s="27" t="inlineStr">
        <is>
          <t>FIX-13</t>
        </is>
      </c>
      <c r="B17" s="27" t="inlineStr">
        <is>
          <t>https://incubrix.com/</t>
        </is>
      </c>
      <c r="C17" s="27" t="inlineStr">
        <is>
          <t>Unidiomatic phrasing in homepage meta description ('turns one piece of content into a weeks worth of shorts').</t>
        </is>
      </c>
      <c r="D17" s="27" t="inlineStr">
        <is>
          <t>evidence/validators/fix13_validator_evidence.json</t>
        </is>
      </c>
      <c r="E17" s="27" t="inlineStr">
        <is>
          <t>Replace with high-converting, grammatically clean 155-character description targeting 'AI video repurposing'.</t>
        </is>
      </c>
      <c r="F17" s="27" t="inlineStr">
        <is>
          <t>outputs/fixes/FIX-13_meta_description.html</t>
        </is>
      </c>
      <c r="G17" s="27" t="inlineStr">
        <is>
          <t>SERP Snippet Preview Simulator (155 characters)</t>
        </is>
      </c>
      <c r="H17" s="27" t="inlineStr">
        <is>
          <t>Yes</t>
        </is>
      </c>
      <c r="I17" s="27" t="inlineStr">
        <is>
          <t>Medium</t>
        </is>
      </c>
      <c r="J17" s="27" t="inlineStr">
        <is>
          <t>Medium</t>
        </is>
      </c>
      <c r="K17" s="28">
        <f>IF(A17="","",IF(COUNTIF($A$5:$A$54,A17)&gt;1,"DUPLICATE","UNIQUE"))</f>
        <v/>
      </c>
      <c r="L17" s="28">
        <f>IF(A17="","",IF(AND(B17&lt;&gt;"",C17&lt;&gt;"",D17&lt;&gt;"",E17&lt;&gt;"",F17&lt;&gt;"",G17&lt;&gt;"",H17&lt;&gt;"",I17&lt;&gt;""),"COMPLETE","MISSING FIELDS"))</f>
        <v/>
      </c>
    </row>
    <row r="18" ht="15" customHeight="1" s="15">
      <c r="A18" s="27" t="inlineStr">
        <is>
          <t>FIX-14</t>
        </is>
      </c>
      <c r="B18" s="27" t="inlineStr">
        <is>
          <t>https://incubrix.com/robots.txt</t>
        </is>
      </c>
      <c r="C18" s="27" t="inlineStr">
        <is>
          <t>Robots.txt is only 65 bytes and lacks explicit AI crawler rules and sitemap reference completeness.</t>
        </is>
      </c>
      <c r="D18" s="27" t="inlineStr">
        <is>
          <t>evidence/validators/fix14_validator_evidence.json</t>
        </is>
      </c>
      <c r="E18" s="27" t="inlineStr">
        <is>
          <t>Deploy expanded robots.txt explicitly permitting Googlebot, GPTBot, ClaudeBot, PerplexityBot, and linking sitemap.xml and llms.txt.</t>
        </is>
      </c>
      <c r="F18" s="27" t="inlineStr">
        <is>
          <t>outputs/fixes/FIX-14_robots.txt</t>
        </is>
      </c>
      <c r="G18" s="27" t="inlineStr">
        <is>
          <t>Google Search Console Robots Testing Tool &amp; RFC 9309</t>
        </is>
      </c>
      <c r="H18" s="27" t="inlineStr">
        <is>
          <t>Yes</t>
        </is>
      </c>
      <c r="I18" s="27" t="inlineStr">
        <is>
          <t>High</t>
        </is>
      </c>
      <c r="J18" s="27" t="inlineStr">
        <is>
          <t>Low</t>
        </is>
      </c>
      <c r="K18" s="28">
        <f>IF(A18="","",IF(COUNTIF($A$5:$A$54,A18)&gt;1,"DUPLICATE","UNIQUE"))</f>
        <v/>
      </c>
      <c r="L18" s="28">
        <f>IF(A18="","",IF(AND(B18&lt;&gt;"",C18&lt;&gt;"",D18&lt;&gt;"",E18&lt;&gt;"",F18&lt;&gt;"",G18&lt;&gt;"",H18&lt;&gt;"",I18&lt;&gt;""),"COMPLETE","MISSING FIELDS"))</f>
        <v/>
      </c>
    </row>
    <row r="19" ht="15" customHeight="1" s="15">
      <c r="A19" s="27" t="inlineStr">
        <is>
          <t>FIX-15</t>
        </is>
      </c>
      <c r="B19" s="27" t="inlineStr">
        <is>
          <t>https://incubrix.com/about/</t>
        </is>
      </c>
      <c r="C19" s="27" t="inlineStr">
        <is>
          <t>Potential duplicate URL indexing due to trailing slash inconsistency (HTTP 200 on both /about and /about/).</t>
        </is>
      </c>
      <c r="D19" s="27" t="inlineStr">
        <is>
          <t>evidence/validators/fix15_validator_evidence.json</t>
        </is>
      </c>
      <c r="E19" s="27" t="inlineStr">
        <is>
          <t>Configure server-level 301 permanent redirects enforcing trailing-slash removal across all marketing routes.</t>
        </is>
      </c>
      <c r="F19" s="27" t="inlineStr">
        <is>
          <t>outputs/fixes/FIX-15_trailing_slash_redirects.json</t>
        </is>
      </c>
      <c r="G19" s="27" t="inlineStr">
        <is>
          <t>HTTP Status Code &amp; Redirect Chain Validator</t>
        </is>
      </c>
      <c r="H19" s="27" t="inlineStr">
        <is>
          <t>Yes</t>
        </is>
      </c>
      <c r="I19" s="27" t="inlineStr">
        <is>
          <t>Medium</t>
        </is>
      </c>
      <c r="J19" s="27" t="inlineStr">
        <is>
          <t>Medium</t>
        </is>
      </c>
      <c r="K19" s="28">
        <f>IF(A19="","",IF(COUNTIF($A$5:$A$54,A19)&gt;1,"DUPLICATE","UNIQUE"))</f>
        <v/>
      </c>
      <c r="L19" s="28">
        <f>IF(A19="","",IF(AND(B19&lt;&gt;"",C19&lt;&gt;"",D19&lt;&gt;"",E19&lt;&gt;"",F19&lt;&gt;"",G19&lt;&gt;"",H19&lt;&gt;"",I19&lt;&gt;""),"COMPLETE","MISSING FIELDS"))</f>
        <v/>
      </c>
    </row>
    <row r="20" ht="15" customHeight="1" s="15">
      <c r="A20" s="27" t="inlineStr">
        <is>
          <t>FIX-16</t>
        </is>
      </c>
      <c r="B20" s="27" t="inlineStr">
        <is>
          <t>https://incubrix.com/</t>
        </is>
      </c>
      <c r="C20" s="27" t="inlineStr">
        <is>
          <t>Google web fonts load without 'font-display: swap', causing Flash of Invisible Text (FOIT) during slow connections.</t>
        </is>
      </c>
      <c r="D20" s="27" t="inlineStr">
        <is>
          <t>evidence/validators/fix16_validator_evidence.json</t>
        </is>
      </c>
      <c r="E20" s="27" t="inlineStr">
        <is>
          <t>Append '&amp;display=swap' to font request and add preconnect link to https://fonts.gstatic.com.</t>
        </is>
      </c>
      <c r="F20" s="27" t="inlineStr">
        <is>
          <t>outputs/fixes/FIX-16_font_optimization.html</t>
        </is>
      </c>
      <c r="G20" s="27" t="inlineStr">
        <is>
          <t>Google Lighthouse Performance Audit</t>
        </is>
      </c>
      <c r="H20" s="27" t="inlineStr">
        <is>
          <t>Yes</t>
        </is>
      </c>
      <c r="I20" s="27" t="inlineStr">
        <is>
          <t>Medium</t>
        </is>
      </c>
      <c r="J20" s="27" t="inlineStr">
        <is>
          <t>Medium</t>
        </is>
      </c>
      <c r="K20" s="28">
        <f>IF(A20="","",IF(COUNTIF($A$5:$A$54,A20)&gt;1,"DUPLICATE","UNIQUE"))</f>
        <v/>
      </c>
      <c r="L20" s="28">
        <f>IF(A20="","",IF(AND(B20&lt;&gt;"",C20&lt;&gt;"",D20&lt;&gt;"",E20&lt;&gt;"",F20&lt;&gt;"",G20&lt;&gt;"",H20&lt;&gt;"",I20&lt;&gt;""),"COMPLETE","MISSING FIELDS"))</f>
        <v/>
      </c>
    </row>
    <row r="21" ht="15" customHeight="1" s="15">
      <c r="A21" s="27" t="inlineStr">
        <is>
          <t>FIX-17</t>
        </is>
      </c>
      <c r="B21" s="27" t="inlineStr">
        <is>
          <t>https://incubrix.com/</t>
        </is>
      </c>
      <c r="C21" s="27" t="inlineStr">
        <is>
          <t>Missing hreflang tags and Open Graph locale declarations for target markets (US, UK, India).</t>
        </is>
      </c>
      <c r="D21" s="27" t="inlineStr">
        <is>
          <t>evidence/validators/fix17_validator_evidence.json</t>
        </is>
      </c>
      <c r="E21" s="27" t="inlineStr">
        <is>
          <t>Implement standard hreflang tags for en-US, en-GB, en-IN, and x-default fallback.</t>
        </is>
      </c>
      <c r="F21" s="27" t="inlineStr">
        <is>
          <t>outputs/fixes/FIX-17_hreflang_tags.html</t>
        </is>
      </c>
      <c r="G21" s="27" t="inlineStr">
        <is>
          <t>W3C Hreflang &amp; Internationalization Linter</t>
        </is>
      </c>
      <c r="H21" s="27" t="inlineStr">
        <is>
          <t>Yes</t>
        </is>
      </c>
      <c r="I21" s="27" t="inlineStr">
        <is>
          <t>High</t>
        </is>
      </c>
      <c r="J21" s="27" t="inlineStr">
        <is>
          <t>Low</t>
        </is>
      </c>
      <c r="K21" s="28">
        <f>IF(A21="","",IF(COUNTIF($A$5:$A$54,A21)&gt;1,"DUPLICATE","UNIQUE"))</f>
        <v/>
      </c>
      <c r="L21" s="28">
        <f>IF(A21="","",IF(AND(B21&lt;&gt;"",C21&lt;&gt;"",D21&lt;&gt;"",E21&lt;&gt;"",F21&lt;&gt;"",G21&lt;&gt;"",H21&lt;&gt;"",I21&lt;&gt;""),"COMPLETE","MISSING FIELDS"))</f>
        <v/>
      </c>
    </row>
    <row r="22" ht="15" customHeight="1" s="15">
      <c r="A22" s="27" t="inlineStr">
        <is>
          <t>FIX-18</t>
        </is>
      </c>
      <c r="B22" s="27" t="inlineStr">
        <is>
          <t>https://incubrix.com/</t>
        </is>
      </c>
      <c r="C22" s="27" t="inlineStr">
        <is>
          <t>Internal navigation buttons use vague anchor text ('Walk in') rather than descriptive keyword anchors.</t>
        </is>
      </c>
      <c r="D22" s="27" t="inlineStr">
        <is>
          <t>evidence/validators/fix18_validator_evidence.json</t>
        </is>
      </c>
      <c r="E22" s="27" t="inlineStr">
        <is>
          <t>Update navigation and hero CTAs to use keyword-rich anchor text: 'Start Free AI Video Studio' with aria-labels.</t>
        </is>
      </c>
      <c r="F22" s="27" t="inlineStr">
        <is>
          <t>outputs/fixes/FIX-18_internal_links.html</t>
        </is>
      </c>
      <c r="G22" s="27" t="inlineStr">
        <is>
          <t>W3C Link Anchor Text &amp; Accessibility Linter</t>
        </is>
      </c>
      <c r="H22" s="27" t="inlineStr">
        <is>
          <t>Yes</t>
        </is>
      </c>
      <c r="I22" s="27" t="inlineStr">
        <is>
          <t>Medium</t>
        </is>
      </c>
      <c r="J22" s="27" t="inlineStr">
        <is>
          <t>Medium</t>
        </is>
      </c>
      <c r="K22" s="28">
        <f>IF(A22="","",IF(COUNTIF($A$5:$A$54,A22)&gt;1,"DUPLICATE","UNIQUE"))</f>
        <v/>
      </c>
      <c r="L22" s="28">
        <f>IF(A22="","",IF(AND(B22&lt;&gt;"",C22&lt;&gt;"",D22&lt;&gt;"",E22&lt;&gt;"",F22&lt;&gt;"",G22&lt;&gt;"",H22&lt;&gt;"",I22&lt;&gt;""),"COMPLETE","MISSING FIELDS"))</f>
        <v/>
      </c>
    </row>
    <row r="23" ht="15" customHeight="1" s="15">
      <c r="A23" s="27" t="inlineStr">
        <is>
          <t>FIX-19</t>
        </is>
      </c>
      <c r="B23" s="27" t="inlineStr">
        <is>
          <t>https://incubrix.com/</t>
        </is>
      </c>
      <c r="C23" s="27" t="inlineStr">
        <is>
          <t>Missing recommended HTTP security headers (HSTS preload, Content-Security-Policy, Permissions-Policy).</t>
        </is>
      </c>
      <c r="D23" s="27" t="inlineStr">
        <is>
          <t>evidence/validators/fix19_validator_evidence.json</t>
        </is>
      </c>
      <c r="E23" s="27" t="inlineStr">
        <is>
          <t>Add standard Cloudflare / Netlify / Nginx security headers including HSTS (max-age=31536000; includeSubDomains).</t>
        </is>
      </c>
      <c r="F23" s="27" t="inlineStr">
        <is>
          <t>outputs/fixes/FIX-19_security_headers.json</t>
        </is>
      </c>
      <c r="G23" s="27" t="inlineStr">
        <is>
          <t>Mozilla Observatory &amp; SecurityHeaders.com Test</t>
        </is>
      </c>
      <c r="H23" s="27" t="inlineStr">
        <is>
          <t>Yes</t>
        </is>
      </c>
      <c r="I23" s="27" t="inlineStr">
        <is>
          <t>Medium</t>
        </is>
      </c>
      <c r="J23" s="27" t="inlineStr">
        <is>
          <t>Medium</t>
        </is>
      </c>
      <c r="K23" s="28">
        <f>IF(A23="","",IF(COUNTIF($A$5:$A$54,A23)&gt;1,"DUPLICATE","UNIQUE"))</f>
        <v/>
      </c>
      <c r="L23" s="28">
        <f>IF(A23="","",IF(AND(B23&lt;&gt;"",C23&lt;&gt;"",D23&lt;&gt;"",E23&lt;&gt;"",F23&lt;&gt;"",G23&lt;&gt;"",H23&lt;&gt;"",I23&lt;&gt;""),"COMPLETE","MISSING FIELDS"))</f>
        <v/>
      </c>
    </row>
    <row r="24" ht="15" customHeight="1" s="15">
      <c r="A24" s="27" t="inlineStr">
        <is>
          <t>FIX-20</t>
        </is>
      </c>
      <c r="B24" s="27" t="inlineStr">
        <is>
          <t>https://incubrix.com/llms-full.txt</t>
        </is>
      </c>
      <c r="C24" s="27" t="inlineStr">
        <is>
          <t>Lack of comprehensive full documentation endpoint (/llms-full.txt) for deep AI agent ingestion.</t>
        </is>
      </c>
      <c r="D24" s="27" t="inlineStr">
        <is>
          <t>evidence/validators/fix20_validator_evidence.json</t>
        </is>
      </c>
      <c r="E24" s="27" t="inlineStr">
        <is>
          <t>Deploy /llms-full.txt providing in-depth technical documentation of speech-to-text algorithms, credit usage, and export specs.</t>
        </is>
      </c>
      <c r="F24" s="27" t="inlineStr">
        <is>
          <t>outputs/fixes/FIX-20_llms_full.txt</t>
        </is>
      </c>
      <c r="G24" s="27" t="inlineStr">
        <is>
          <t>RFC 9309 / LLMs.txt Linter &amp; Markdown Linter</t>
        </is>
      </c>
      <c r="H24" s="27" t="inlineStr">
        <is>
          <t>Yes</t>
        </is>
      </c>
      <c r="I24" s="27" t="inlineStr">
        <is>
          <t>High</t>
        </is>
      </c>
      <c r="J24" s="27" t="inlineStr">
        <is>
          <t>Low</t>
        </is>
      </c>
      <c r="K24" s="28">
        <f>IF(A24="","",IF(COUNTIF($A$5:$A$54,A24)&gt;1,"DUPLICATE","UNIQUE"))</f>
        <v/>
      </c>
      <c r="L24" s="28">
        <f>IF(A24="","",IF(AND(B24&lt;&gt;"",C24&lt;&gt;"",D24&lt;&gt;"",E24&lt;&gt;"",F24&lt;&gt;"",G24&lt;&gt;"",H24&lt;&gt;"",I24&lt;&gt;""),"COMPLETE","MISSING FIELDS"))</f>
        <v/>
      </c>
    </row>
    <row r="25" ht="15" customHeight="1" s="15">
      <c r="A25" s="27" t="n"/>
      <c r="B25" s="27" t="n"/>
      <c r="C25" s="27" t="n"/>
      <c r="D25" s="27" t="n"/>
      <c r="E25" s="27" t="n"/>
      <c r="F25" s="27" t="n"/>
      <c r="G25" s="27" t="n"/>
      <c r="H25" s="27" t="n"/>
      <c r="I25" s="27" t="n"/>
      <c r="J25" s="27" t="n"/>
      <c r="K25" s="28">
        <f>IF(A25="","",IF(COUNTIF($A$5:$A$54,A25)&gt;1,"DUPLICATE","UNIQUE"))</f>
        <v/>
      </c>
      <c r="L25" s="28">
        <f>IF(A25="","",IF(AND(B25&lt;&gt;"",C25&lt;&gt;"",D25&lt;&gt;"",E25&lt;&gt;"",F25&lt;&gt;"",G25&lt;&gt;"",H25&lt;&gt;"",I25&lt;&gt;""),"COMPLETE","MISSING FIELDS"))</f>
        <v/>
      </c>
    </row>
    <row r="26" ht="15" customHeight="1" s="15">
      <c r="A26" s="27" t="n"/>
      <c r="B26" s="27" t="n"/>
      <c r="C26" s="27" t="n"/>
      <c r="D26" s="27" t="n"/>
      <c r="E26" s="27" t="n"/>
      <c r="F26" s="27" t="n"/>
      <c r="G26" s="27" t="n"/>
      <c r="H26" s="27" t="n"/>
      <c r="I26" s="27" t="n"/>
      <c r="J26" s="27" t="n"/>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P01</t>
        </is>
      </c>
      <c r="B5" s="27" t="inlineStr">
        <is>
          <t>Publish-Ready Page</t>
        </is>
      </c>
      <c r="C5" s="27" t="inlineStr">
        <is>
          <t>Q021, Q025</t>
        </is>
      </c>
      <c r="D5" s="27" t="inlineStr">
        <is>
          <t>How do I turn long videos into shorts with AI? | IncuBrix</t>
        </is>
      </c>
      <c r="E5" s="27" t="inlineStr">
        <is>
          <t>outputs/pages/page_01.md</t>
        </is>
      </c>
      <c r="F5" s="27" t="inlineStr">
        <is>
          <t>Directly targets IncuBrix's core AI vertical repurposing engine. Q021 exhibits massive search demand across Google and Reddit, with 62% AI Overview triggering rate. IncuBrix currently has 0% organic visibility while OpusClip dominates (47% SoV). Provides a step-by-step technical guide with immediate product trial CTA.</t>
        </is>
      </c>
      <c r="G5" s="27" t="inlineStr">
        <is>
          <t>How-to Guide (Schema: Article, BreadcrumbList, HowTo/FAQ)</t>
        </is>
      </c>
      <c r="H5" s="27" t="inlineStr">
        <is>
          <t>OpenAI Whisper Docs, YouTube Shorts Specs, Instagram Graph API, WCAG 2.1</t>
        </is>
      </c>
      <c r="I5" s="27" t="inlineStr">
        <is>
          <t>Publish-Ready</t>
        </is>
      </c>
      <c r="J5" s="28">
        <f>IF(A5="","",IF(COUNTIF($A$5:$A$84,A5)&gt;1,"DUPLICATE","UNIQUE"))</f>
        <v/>
      </c>
      <c r="K5" s="28">
        <f>IF(A5="","",IF(AND(B5&lt;&gt;"",C5&lt;&gt;"",D5&lt;&gt;"",E5&lt;&gt;"",F5&lt;&gt;"",I5&lt;&gt;""),"COMPLETE","MISSING FIELDS"))</f>
        <v/>
      </c>
    </row>
    <row r="6" ht="15" customHeight="1" s="15">
      <c r="A6" s="27" t="inlineStr">
        <is>
          <t>P02</t>
        </is>
      </c>
      <c r="B6" s="27" t="inlineStr">
        <is>
          <t>Publish-Ready Page</t>
        </is>
      </c>
      <c r="C6" s="27" t="inlineStr">
        <is>
          <t>Q022, Q026</t>
        </is>
      </c>
      <c r="D6" s="27" t="inlineStr">
        <is>
          <t>How do podcasters create viral TikTok clips and R | IncuBrix</t>
        </is>
      </c>
      <c r="E6" s="27" t="inlineStr">
        <is>
          <t>outputs/pages/page_02.md</t>
        </is>
      </c>
      <c r="F6" s="27" t="inlineStr">
        <is>
          <t>Podcasters generate the highest volume of long-form audio/video content (60-90 min episodes). Q022 and Q026 represent frequent PAA queries. Capturing podcasters drives high credit consumption (~14 credits/min of video). Workflow guide details transcript analysis, speaker framing, and multi-clip batch generation.</t>
        </is>
      </c>
      <c r="G6" s="27" t="inlineStr">
        <is>
          <t>Practical Creator Workflow Guide (Schema: Article, BreadcrumbList, HowTo/FAQ)</t>
        </is>
      </c>
      <c r="H6" s="27" t="inlineStr">
        <is>
          <t>OpenAI Whisper Docs, YouTube Shorts Specs, Instagram Graph API, WCAG 2.1</t>
        </is>
      </c>
      <c r="I6" s="27" t="inlineStr">
        <is>
          <t>Publish-Ready</t>
        </is>
      </c>
      <c r="J6" s="28">
        <f>IF(A6="","",IF(COUNTIF($A$5:$A$84,A6)&gt;1,"DUPLICATE","UNIQUE"))</f>
        <v/>
      </c>
      <c r="K6" s="28">
        <f>IF(A6="","",IF(AND(B6&lt;&gt;"",C6&lt;&gt;"",D6&lt;&gt;"",E6&lt;&gt;"",F6&lt;&gt;"",I6&lt;&gt;""),"COMPLETE","MISSING FIELDS"))</f>
        <v/>
      </c>
    </row>
    <row r="7" ht="15" customHeight="1" s="15">
      <c r="A7" s="27" t="inlineStr">
        <is>
          <t>P03</t>
        </is>
      </c>
      <c r="B7" s="27" t="inlineStr">
        <is>
          <t>Publish-Ready Page</t>
        </is>
      </c>
      <c r="C7" s="27" t="inlineStr">
        <is>
          <t>Q041, Q047</t>
        </is>
      </c>
      <c r="D7" s="27" t="inlineStr">
        <is>
          <t>What are the best OpusClip alternatives for AI vi | IncuBrix</t>
        </is>
      </c>
      <c r="E7" s="27" t="inlineStr">
        <is>
          <t>outputs/pages/page_03.md</t>
        </is>
      </c>
      <c r="F7" s="27" t="inlineStr">
        <is>
          <t>Phase 2 baseline revealed OpusClip holds 47% share of voice across AI assistants. Bidding or ranking for 'OpusClip alternatives' captures bottom-of-funnel creators ready to switch. Features an objective, factual comparison matrix covering credit economics, multi-speaker face tracking, and unified publishing.</t>
        </is>
      </c>
      <c r="G7" s="27" t="inlineStr">
        <is>
          <t>Comparison Article (Schema: Article, BreadcrumbList, HowTo/FAQ)</t>
        </is>
      </c>
      <c r="H7" s="27" t="inlineStr">
        <is>
          <t>OpenAI Whisper Docs, YouTube Shorts Specs, Instagram Graph API, WCAG 2.1</t>
        </is>
      </c>
      <c r="I7" s="27" t="inlineStr">
        <is>
          <t>Publish-Ready</t>
        </is>
      </c>
      <c r="J7" s="28">
        <f>IF(A7="","",IF(COUNTIF($A$5:$A$84,A7)&gt;1,"DUPLICATE","UNIQUE"))</f>
        <v/>
      </c>
      <c r="K7" s="28">
        <f>IF(A7="","",IF(AND(B7&lt;&gt;"",C7&lt;&gt;"",D7&lt;&gt;"",E7&lt;&gt;"",F7&lt;&gt;"",I7&lt;&gt;""),"COMPLETE","MISSING FIELDS"))</f>
        <v/>
      </c>
    </row>
    <row r="8" ht="15" customHeight="1" s="15">
      <c r="A8" s="27" t="inlineStr">
        <is>
          <t>P04</t>
        </is>
      </c>
      <c r="B8" s="27" t="inlineStr">
        <is>
          <t>Publish-Ready Page</t>
        </is>
      </c>
      <c r="C8" s="27" t="inlineStr">
        <is>
          <t>Q061, Q062</t>
        </is>
      </c>
      <c r="D8" s="27" t="inlineStr">
        <is>
          <t>How do I create animated captions with emoji like | IncuBrix</t>
        </is>
      </c>
      <c r="E8" s="27" t="inlineStr">
        <is>
          <t>outputs/pages/page_04.md</t>
        </is>
      </c>
      <c r="F8" s="27" t="inlineStr">
        <is>
          <t>High viral search volume query. Q061 is one of the most frequently asked styling questions in creator forums. IncuBrix provides built-in word-by-word active karaoke highlighting and auto-emoji placement. Delivering a direct 2-sentence answer secures Google Featured Snippets.</t>
        </is>
      </c>
      <c r="G8" s="27" t="inlineStr">
        <is>
          <t>How-to Guide (Schema: Article, BreadcrumbList, HowTo/FAQ)</t>
        </is>
      </c>
      <c r="H8" s="27" t="inlineStr">
        <is>
          <t>OpenAI Whisper Docs, YouTube Shorts Specs, Instagram Graph API, WCAG 2.1</t>
        </is>
      </c>
      <c r="I8" s="27" t="inlineStr">
        <is>
          <t>Publish-Ready</t>
        </is>
      </c>
      <c r="J8" s="28">
        <f>IF(A8="","",IF(COUNTIF($A$5:$A$84,A8)&gt;1,"DUPLICATE","UNIQUE"))</f>
        <v/>
      </c>
      <c r="K8" s="28">
        <f>IF(A8="","",IF(AND(B8&lt;&gt;"",C8&lt;&gt;"",D8&lt;&gt;"",E8&lt;&gt;"",F8&lt;&gt;"",I8&lt;&gt;""),"COMPLETE","MISSING FIELDS"))</f>
        <v/>
      </c>
    </row>
    <row r="9" ht="15" customHeight="1" s="15">
      <c r="A9" s="27" t="inlineStr">
        <is>
          <t>P05</t>
        </is>
      </c>
      <c r="B9" s="27" t="inlineStr">
        <is>
          <t>Publish-Ready Page</t>
        </is>
      </c>
      <c r="C9" s="27" t="inlineStr">
        <is>
          <t>Q042, Q044</t>
        </is>
      </c>
      <c r="D9" s="27" t="inlineStr">
        <is>
          <t>Descript vs IncuBrix: Which is better for multi-p | IncuBrix</t>
        </is>
      </c>
      <c r="E9" s="27" t="inlineStr">
        <is>
          <t>outputs/pages/page_05.md</t>
        </is>
      </c>
      <c r="F9" s="27" t="inlineStr">
        <is>
          <t>Descript is the second largest competitor in our Phase 2 baseline (44% SoV). Descript excels at desktop podcast editing but requires manual timeline exports and lacks native multi-platform social scheduling. This head-to-head comparison establishes IncuBrix's positioning as the integrated CreatorOps alternative.</t>
        </is>
      </c>
      <c r="G9" s="27" t="inlineStr">
        <is>
          <t>Comparison Article (Schema: Article, BreadcrumbList, HowTo/FAQ)</t>
        </is>
      </c>
      <c r="H9" s="27" t="inlineStr">
        <is>
          <t>OpenAI Whisper Docs, YouTube Shorts Specs, Instagram Graph API, WCAG 2.1</t>
        </is>
      </c>
      <c r="I9" s="27" t="inlineStr">
        <is>
          <t>Publish-Ready</t>
        </is>
      </c>
      <c r="J9" s="28">
        <f>IF(A9="","",IF(COUNTIF($A$5:$A$84,A9)&gt;1,"DUPLICATE","UNIQUE"))</f>
        <v/>
      </c>
      <c r="K9" s="28">
        <f>IF(A9="","",IF(AND(B9&lt;&gt;"",C9&lt;&gt;"",D9&lt;&gt;"",E9&lt;&gt;"",F9&lt;&gt;"",I9&lt;&gt;""),"COMPLETE","MISSING FIELDS"))</f>
        <v/>
      </c>
    </row>
    <row r="10" ht="15" customHeight="1" s="15">
      <c r="A10" s="27" t="inlineStr">
        <is>
          <t>P06</t>
        </is>
      </c>
      <c r="B10" s="27" t="inlineStr">
        <is>
          <t>Publish-Ready Page</t>
        </is>
      </c>
      <c r="C10" s="27" t="inlineStr">
        <is>
          <t>Q011, Q013</t>
        </is>
      </c>
      <c r="D10" s="27" t="inlineStr">
        <is>
          <t>How do I reframe 16:9 horizontal videos to 9:16 v | IncuBrix</t>
        </is>
      </c>
      <c r="E10" s="27" t="inlineStr">
        <is>
          <t>outputs/pages/page_06.md</t>
        </is>
      </c>
      <c r="F10" s="27" t="inlineStr">
        <is>
          <t>Manual center-cropping cuts off moving speakers and multi-person interviews. Q011 and Q013 address computer vision face detection and active speaker diarization. IncuBrix's automated 9:16 crop engine directly solves this technical pain point.</t>
        </is>
      </c>
      <c r="G10" s="27" t="inlineStr">
        <is>
          <t>How-to Guide (Schema: Article, BreadcrumbList, HowTo/FAQ)</t>
        </is>
      </c>
      <c r="H10" s="27" t="inlineStr">
        <is>
          <t>OpenAI Whisper Docs, YouTube Shorts Specs, Instagram Graph API, WCAG 2.1</t>
        </is>
      </c>
      <c r="I10" s="27" t="inlineStr">
        <is>
          <t>Publish-Ready</t>
        </is>
      </c>
      <c r="J10" s="28">
        <f>IF(A10="","",IF(COUNTIF($A$5:$A$84,A10)&gt;1,"DUPLICATE","UNIQUE"))</f>
        <v/>
      </c>
      <c r="K10" s="28">
        <f>IF(A10="","",IF(AND(B10&lt;&gt;"",C10&lt;&gt;"",D10&lt;&gt;"",E10&lt;&gt;"",F10&lt;&gt;"",I10&lt;&gt;""),"COMPLETE","MISSING FIELDS"))</f>
        <v/>
      </c>
    </row>
    <row r="11" ht="15" customHeight="1" s="15">
      <c r="A11" s="27" t="inlineStr">
        <is>
          <t>P07</t>
        </is>
      </c>
      <c r="B11" s="27" t="inlineStr">
        <is>
          <t>Publish-Ready Page</t>
        </is>
      </c>
      <c r="C11" s="27" t="inlineStr">
        <is>
          <t>Q014, Q018, Q028</t>
        </is>
      </c>
      <c r="D11" s="27" t="inlineStr">
        <is>
          <t>Why are my AI generated video clips blurry or out | IncuBrix</t>
        </is>
      </c>
      <c r="E11" s="27" t="inlineStr">
        <is>
          <t>outputs/pages/page_07.md</t>
        </is>
      </c>
      <c r="F11" s="27" t="inlineStr">
        <is>
          <t>Troubleshooting questions trigger high Answer Engine and PAA inclusion rates. Q014, Q018, and Q028 represent creators troubleshooting frame rate mismatches (VFR vs CFR), audio sample rates (44.1kHz vs 48kHz), and bitrates. Structured FAQPage schema qualifies for Google SERP rich accordions.</t>
        </is>
      </c>
      <c r="G11" s="27" t="inlineStr">
        <is>
          <t>FAQ &amp; Troubleshooting Guide (Schema: Article, BreadcrumbList, HowTo/FAQ)</t>
        </is>
      </c>
      <c r="H11" s="27" t="inlineStr">
        <is>
          <t>OpenAI Whisper Docs, YouTube Shorts Specs, Instagram Graph API, WCAG 2.1</t>
        </is>
      </c>
      <c r="I11" s="27" t="inlineStr">
        <is>
          <t>Publish-Ready</t>
        </is>
      </c>
      <c r="J11" s="28">
        <f>IF(A11="","",IF(COUNTIF($A$5:$A$84,A11)&gt;1,"DUPLICATE","UNIQUE"))</f>
        <v/>
      </c>
      <c r="K11" s="28">
        <f>IF(A11="","",IF(AND(B11&lt;&gt;"",C11&lt;&gt;"",D11&lt;&gt;"",E11&lt;&gt;"",F11&lt;&gt;"",I11&lt;&gt;""),"COMPLETE","MISSING FIELDS"))</f>
        <v/>
      </c>
    </row>
    <row r="12" ht="15" customHeight="1" s="15">
      <c r="A12" s="27" t="inlineStr">
        <is>
          <t>P08</t>
        </is>
      </c>
      <c r="B12" s="27" t="inlineStr">
        <is>
          <t>Publish-Ready Page</t>
        </is>
      </c>
      <c r="C12" s="27" t="inlineStr">
        <is>
          <t>Q071, Q075</t>
        </is>
      </c>
      <c r="D12" s="27" t="inlineStr">
        <is>
          <t>How do I schedule YouTube Shorts, Instagram Reels | IncuBrix</t>
        </is>
      </c>
      <c r="E12" s="27" t="inlineStr">
        <is>
          <t>outputs/pages/page_08.md</t>
        </is>
      </c>
      <c r="F12" s="27" t="inlineStr">
        <is>
          <t>Eliminates the 'tool fatigue' of downloading clips from an editor and re-uploading to Buffer/Hootsuite. IncuBrix unifies AI clipping with direct social API publishing (YouTube, TikTok, Instagram, LinkedIn). Captures creators seeking an end-to-end publishing pipeline.</t>
        </is>
      </c>
      <c r="G12" s="27" t="inlineStr">
        <is>
          <t>Practical Creator Workflow Guide (Schema: Article, BreadcrumbList, HowTo/FAQ)</t>
        </is>
      </c>
      <c r="H12" s="27" t="inlineStr">
        <is>
          <t>OpenAI Whisper Docs, YouTube Shorts Specs, Instagram Graph API, WCAG 2.1</t>
        </is>
      </c>
      <c r="I12" s="27" t="inlineStr">
        <is>
          <t>Publish-Ready</t>
        </is>
      </c>
      <c r="J12" s="28">
        <f>IF(A12="","",IF(COUNTIF($A$5:$A$84,A12)&gt;1,"DUPLICATE","UNIQUE"))</f>
        <v/>
      </c>
      <c r="K12" s="28">
        <f>IF(A12="","",IF(AND(B12&lt;&gt;"",C12&lt;&gt;"",D12&lt;&gt;"",E12&lt;&gt;"",F12&lt;&gt;"",I12&lt;&gt;""),"COMPLETE","MISSING FIELDS"))</f>
        <v/>
      </c>
    </row>
    <row r="13" ht="15" customHeight="1" s="15">
      <c r="A13" s="27" t="inlineStr">
        <is>
          <t>P09</t>
        </is>
      </c>
      <c r="B13" s="27" t="inlineStr">
        <is>
          <t>Publish-Ready Page</t>
        </is>
      </c>
      <c r="C13" s="27" t="inlineStr">
        <is>
          <t>Q051, Q091</t>
        </is>
      </c>
      <c r="D13" s="27" t="inlineStr">
        <is>
          <t>What is CreatorOps (Creator Operating System) and | IncuBrix</t>
        </is>
      </c>
      <c r="E13" s="27" t="inlineStr">
        <is>
          <t>outputs/pages/page_09.md</t>
        </is>
      </c>
      <c r="F13" s="27" t="inlineStr">
        <is>
          <t>Category creation and thought leadership. IncuBrix defines itself as 'The AI-powered operating system for the creator economy (CreatorOps)'. Establishes the formal definition of CreatorOps across the 5 lifecycle stages (Discover -&gt; Create -&gt; Repurpose -&gt; Publish -&gt; Learn) for Perplexity and LLM knowledge graphs.</t>
        </is>
      </c>
      <c r="G13" s="27" t="inlineStr">
        <is>
          <t>Glossary or Explanatory Page (Schema: Article, BreadcrumbList, HowTo/FAQ)</t>
        </is>
      </c>
      <c r="H13" s="27" t="inlineStr">
        <is>
          <t>OpenAI Whisper Docs, YouTube Shorts Specs, Instagram Graph API, WCAG 2.1</t>
        </is>
      </c>
      <c r="I13" s="27" t="inlineStr">
        <is>
          <t>Publish-Ready</t>
        </is>
      </c>
      <c r="J13" s="28">
        <f>IF(A13="","",IF(COUNTIF($A$5:$A$84,A13)&gt;1,"DUPLICATE","UNIQUE"))</f>
        <v/>
      </c>
      <c r="K13" s="28">
        <f>IF(A13="","",IF(AND(B13&lt;&gt;"",C13&lt;&gt;"",D13&lt;&gt;"",E13&lt;&gt;"",F13&lt;&gt;"",I13&lt;&gt;""),"COMPLETE","MISSING FIELDS"))</f>
        <v/>
      </c>
    </row>
    <row r="14" ht="15" customHeight="1" s="15">
      <c r="A14" s="27" t="inlineStr">
        <is>
          <t>P10</t>
        </is>
      </c>
      <c r="B14" s="27" t="inlineStr">
        <is>
          <t>Publish-Ready Page</t>
        </is>
      </c>
      <c r="C14" s="27" t="inlineStr">
        <is>
          <t>Q048, Q095</t>
        </is>
      </c>
      <c r="D14" s="27" t="inlineStr">
        <is>
          <t>What is the best AI video repurposing workflow fo | IncuBrix</t>
        </is>
      </c>
      <c r="E14" s="27" t="inlineStr">
        <is>
          <t>outputs/pages/page_10.md</t>
        </is>
      </c>
      <c r="F14" s="27" t="inlineStr">
        <is>
          <t>Agencies drive the highest lifetime customer value (LTV) and consume top pricing tiers (Growth $50, Scale $100, Pro $250/mo). Q048 and Q095 focus on multi-client workspaces, credit pooling, and batch exports. Provides an agency ROI calculator framework and step-by-step client onboarding.</t>
        </is>
      </c>
      <c r="G14" s="27" t="inlineStr">
        <is>
          <t>Practical Creator Workflow Guide (Schema: Article, BreadcrumbList, HowTo/FAQ)</t>
        </is>
      </c>
      <c r="H14" s="27" t="inlineStr">
        <is>
          <t>OpenAI Whisper Docs, YouTube Shorts Specs, Instagram Graph API, WCAG 2.1</t>
        </is>
      </c>
      <c r="I14" s="27" t="inlineStr">
        <is>
          <t>Publish-Ready</t>
        </is>
      </c>
      <c r="J14" s="28">
        <f>IF(A14="","",IF(COUNTIF($A$5:$A$84,A14)&gt;1,"DUPLICATE","UNIQUE"))</f>
        <v/>
      </c>
      <c r="K14" s="28">
        <f>IF(A14="","",IF(AND(B14&lt;&gt;"",C14&lt;&gt;"",D14&lt;&gt;"",E14&lt;&gt;"",F14&lt;&gt;"",I14&lt;&gt;""),"COMPLETE","MISSING FIELDS"))</f>
        <v/>
      </c>
    </row>
    <row r="15" ht="15" customHeight="1" s="15">
      <c r="A15" s="27" t="inlineStr">
        <is>
          <t>C01</t>
        </is>
      </c>
      <c r="B15" s="27" t="inlineStr">
        <is>
          <t>Citation Target</t>
        </is>
      </c>
      <c r="C15" s="27" t="inlineStr">
        <is>
          <t>Q001, Q041</t>
        </is>
      </c>
      <c r="D15" s="27" t="inlineStr">
        <is>
          <t>The 9 best AI video generators and editors in 2026</t>
        </is>
      </c>
      <c r="E15" s="27" t="inlineStr">
        <is>
          <t>https://zapier.com/blog/best-ai-video-generators/</t>
        </is>
      </c>
      <c r="F15" s="27" t="inlineStr">
        <is>
          <t>High-authority Zapier editorial roundup evaluating automation-first video production suites. (Phase 2 Baseline (Perplexity &amp; Google Citation for Q001))</t>
        </is>
      </c>
      <c r="G15" s="27" t="inlineStr">
        <is>
          <t>Pitch IncuBrix as the best integrated CreatorOps platform uniting video clipping with direct social scheduling.</t>
        </is>
      </c>
      <c r="H15" s="27" t="inlineStr">
        <is>
          <t>Publisher: Zapier | Competitors: Descript, Runway, Synthesia, OpusClip</t>
        </is>
      </c>
      <c r="I15" s="27" t="inlineStr">
        <is>
          <t>Target Identified</t>
        </is>
      </c>
      <c r="J15" s="28">
        <f>IF(A15="","",IF(COUNTIF($A$5:$A$84,A15)&gt;1,"DUPLICATE","UNIQUE"))</f>
        <v/>
      </c>
      <c r="K15" s="28">
        <f>IF(A15="","",IF(AND(B15&lt;&gt;"",C15&lt;&gt;"",D15&lt;&gt;"",E15&lt;&gt;"",F15&lt;&gt;"",I15&lt;&gt;""),"COMPLETE","MISSING FIELDS"))</f>
        <v/>
      </c>
    </row>
    <row r="16" ht="15" customHeight="1" s="15">
      <c r="A16" s="27" t="inlineStr">
        <is>
          <t>C02</t>
        </is>
      </c>
      <c r="B16" s="27" t="inlineStr">
        <is>
          <t>Citation Target</t>
        </is>
      </c>
      <c r="C16" s="27" t="inlineStr">
        <is>
          <t>Q002, Q022</t>
        </is>
      </c>
      <c r="D16" s="27" t="inlineStr">
        <is>
          <t>How to create AI podcast clips: The complete guide</t>
        </is>
      </c>
      <c r="E16" s="27" t="inlineStr">
        <is>
          <t>https://riverside.fm/blog/ai-podcast-clips</t>
        </is>
      </c>
      <c r="F16" s="27" t="inlineStr">
        <is>
          <t>Direct guide on turning long-form podcast recordings into short vertical video clips. (Phase 2 Baseline (Google Search Top 3 for Q002))</t>
        </is>
      </c>
      <c r="G16" s="27" t="inlineStr">
        <is>
          <t>Contribute technical commentary on multi-speaker split-screen reframing and Whisper transcription.</t>
        </is>
      </c>
      <c r="H16" s="27" t="inlineStr">
        <is>
          <t>Publisher: Riverside.fm | Competitors: Riverside Magic Clips, OpusClip, Podsqueeze</t>
        </is>
      </c>
      <c r="I16" s="27" t="inlineStr">
        <is>
          <t>Target Identified</t>
        </is>
      </c>
      <c r="J16" s="28">
        <f>IF(A16="","",IF(COUNTIF($A$5:$A$84,A16)&gt;1,"DUPLICATE","UNIQUE"))</f>
        <v/>
      </c>
      <c r="K16" s="28">
        <f>IF(A16="","",IF(AND(B16&lt;&gt;"",C16&lt;&gt;"",D16&lt;&gt;"",E16&lt;&gt;"",F16&lt;&gt;"",I16&lt;&gt;""),"COMPLETE","MISSING FIELDS"))</f>
        <v/>
      </c>
    </row>
    <row r="17" ht="15" customHeight="1" s="15">
      <c r="A17" s="27" t="inlineStr">
        <is>
          <t>C03</t>
        </is>
      </c>
      <c r="B17" s="27" t="inlineStr">
        <is>
          <t>Citation Target</t>
        </is>
      </c>
      <c r="C17" s="27" t="inlineStr">
        <is>
          <t>Q003, Q011</t>
        </is>
      </c>
      <c r="D17" s="27" t="inlineStr">
        <is>
          <t>How to convert horizontal 16:9 video to vertical 9:16</t>
        </is>
      </c>
      <c r="E17" s="27" t="inlineStr">
        <is>
          <t>https://www.kapwing.com/resources/convert-horizontal-video-to-vertical/</t>
        </is>
      </c>
      <c r="F17" s="27" t="inlineStr">
        <is>
          <t>Authoritative educational resource on aspect ratio math, safe zones, and speaker cropping. (Phase 2 Baseline (Google Search Rank #1 for Q003))</t>
        </is>
      </c>
      <c r="G17" s="27" t="inlineStr">
        <is>
          <t>Reference our Phase 4 guide P06 on computer vision face tracking and safe zones.</t>
        </is>
      </c>
      <c r="H17" s="27" t="inlineStr">
        <is>
          <t>Publisher: Kapwing | Competitors: Kapwing Studio, Adobe Premiere, Canva</t>
        </is>
      </c>
      <c r="I17" s="27" t="inlineStr">
        <is>
          <t>Target Identified</t>
        </is>
      </c>
      <c r="J17" s="28">
        <f>IF(A17="","",IF(COUNTIF($A$5:$A$84,A17)&gt;1,"DUPLICATE","UNIQUE"))</f>
        <v/>
      </c>
      <c r="K17" s="28">
        <f>IF(A17="","",IF(AND(B17&lt;&gt;"",C17&lt;&gt;"",D17&lt;&gt;"",E17&lt;&gt;"",F17&lt;&gt;"",I17&lt;&gt;""),"COMPLETE","MISSING FIELDS"))</f>
        <v/>
      </c>
    </row>
    <row r="18" ht="15" customHeight="1" s="15">
      <c r="A18" s="27" t="inlineStr">
        <is>
          <t>C04</t>
        </is>
      </c>
      <c r="B18" s="27" t="inlineStr">
        <is>
          <t>Citation Target</t>
        </is>
      </c>
      <c r="C18" s="27" t="inlineStr">
        <is>
          <t>Q010, Q041</t>
        </is>
      </c>
      <c r="D18" s="27" t="inlineStr">
        <is>
          <t>Top 15 AI Video Repurposing Tools for Creators in 2026</t>
        </is>
      </c>
      <c r="E18" s="27" t="inlineStr">
        <is>
          <t>https://influencermarketinghub.com/ai-video-repurposing-tools/</t>
        </is>
      </c>
      <c r="F18" s="27" t="inlineStr">
        <is>
          <t>Premier creator economy trade publication covering influencer software stacks. (Phase 2 Baseline (Perplexity Citation for Q010))</t>
        </is>
      </c>
      <c r="G18" s="27" t="inlineStr">
        <is>
          <t>Pitch IncuBrix's unique CreatorOps positioning and 300 free credits with zero watermark.</t>
        </is>
      </c>
      <c r="H18" s="27" t="inlineStr">
        <is>
          <t>Publisher: Influencer Marketing Hub | Competitors: OpusClip, Munch, Klap, Vidyo.ai, Veed</t>
        </is>
      </c>
      <c r="I18" s="27" t="inlineStr">
        <is>
          <t>Target Identified</t>
        </is>
      </c>
      <c r="J18" s="28">
        <f>IF(A18="","",IF(COUNTIF($A$5:$A$84,A18)&gt;1,"DUPLICATE","UNIQUE"))</f>
        <v/>
      </c>
      <c r="K18" s="28">
        <f>IF(A18="","",IF(AND(B18&lt;&gt;"",C18&lt;&gt;"",D18&lt;&gt;"",E18&lt;&gt;"",F18&lt;&gt;"",I18&lt;&gt;""),"COMPLETE","MISSING FIELDS"))</f>
        <v/>
      </c>
    </row>
    <row r="19" ht="15" customHeight="1" s="15">
      <c r="A19" s="27" t="inlineStr">
        <is>
          <t>C05</t>
        </is>
      </c>
      <c r="B19" s="27" t="inlineStr">
        <is>
          <t>Citation Target</t>
        </is>
      </c>
      <c r="C19" s="27" t="inlineStr">
        <is>
          <t>Q006, Q026</t>
        </is>
      </c>
      <c r="D19" s="27" t="inlineStr">
        <is>
          <t>How to turn Zoom recordings into TikTok shorts</t>
        </is>
      </c>
      <c r="E19" s="27" t="inlineStr">
        <is>
          <t>https://www.veed.io/learn/how-to-turn-zoom-into-shorts</t>
        </is>
      </c>
      <c r="F19" s="27" t="inlineStr">
        <is>
          <t>Direct guide on converting corporate Zoom calls into engaging short-form social clips. (Phase 2 Baseline (Google Search Top 3 for Q006))</t>
        </is>
      </c>
      <c r="G19" s="27" t="inlineStr">
        <is>
          <t>Highlight IncuBrix's native Zoom cloud integration and automated speaker diarization.</t>
        </is>
      </c>
      <c r="H19" s="27" t="inlineStr">
        <is>
          <t>Publisher: Veed.io | Competitors: Veed.io, Zoom Cloud, Descript</t>
        </is>
      </c>
      <c r="I19" s="27" t="inlineStr">
        <is>
          <t>Target Identified</t>
        </is>
      </c>
      <c r="J19" s="28">
        <f>IF(A19="","",IF(COUNTIF($A$5:$A$84,A19)&gt;1,"DUPLICATE","UNIQUE"))</f>
        <v/>
      </c>
      <c r="K19" s="28">
        <f>IF(A19="","",IF(AND(B19&lt;&gt;"",C19&lt;&gt;"",D19&lt;&gt;"",E19&lt;&gt;"",F19&lt;&gt;"",I19&lt;&gt;""),"COMPLETE","MISSING FIELDS"))</f>
        <v/>
      </c>
    </row>
    <row r="20" ht="15" customHeight="1" s="15">
      <c r="A20" s="27" t="inlineStr">
        <is>
          <t>C06</t>
        </is>
      </c>
      <c r="B20" s="27" t="inlineStr">
        <is>
          <t>Citation Target</t>
        </is>
      </c>
      <c r="C20" s="27" t="inlineStr">
        <is>
          <t>Q007, Q042</t>
        </is>
      </c>
      <c r="D20" s="27" t="inlineStr">
        <is>
          <t>How to extract video highlights from long recordings</t>
        </is>
      </c>
      <c r="E20" s="27" t="inlineStr">
        <is>
          <t>https://www.descript.com/blog/how-to-extract-highlights</t>
        </is>
      </c>
      <c r="F20" s="27" t="inlineStr">
        <is>
          <t>Official blog of IncuBrix's primary competitor in text-based editing. (Phase 2 Baseline (Perplexity &amp; Google Citation for Q007))</t>
        </is>
      </c>
      <c r="G20" s="27" t="inlineStr">
        <is>
          <t>Use insights to sharpen IncuBrix's comparative positioning on automated social publishing.</t>
        </is>
      </c>
      <c r="H20" s="27" t="inlineStr">
        <is>
          <t>Publisher: Descript | Competitors: Descript, Premiere Pro, Final Cut</t>
        </is>
      </c>
      <c r="I20" s="27" t="inlineStr">
        <is>
          <t>Target Identified</t>
        </is>
      </c>
      <c r="J20" s="28">
        <f>IF(A20="","",IF(COUNTIF($A$5:$A$84,A20)&gt;1,"DUPLICATE","UNIQUE"))</f>
        <v/>
      </c>
      <c r="K20" s="28">
        <f>IF(A20="","",IF(AND(B20&lt;&gt;"",C20&lt;&gt;"",D20&lt;&gt;"",E20&lt;&gt;"",F20&lt;&gt;"",I20&lt;&gt;""),"COMPLETE","MISSING FIELDS"))</f>
        <v/>
      </c>
    </row>
    <row r="21" ht="15" customHeight="1" s="15">
      <c r="A21" s="27" t="inlineStr">
        <is>
          <t>C07</t>
        </is>
      </c>
      <c r="B21" s="27" t="inlineStr">
        <is>
          <t>Citation Target</t>
        </is>
      </c>
      <c r="C21" s="27" t="inlineStr">
        <is>
          <t>Q013, Q048</t>
        </is>
      </c>
      <c r="D21" s="27" t="inlineStr">
        <is>
          <t>How to Repurpose Long-Form Conference Talks and Webinars</t>
        </is>
      </c>
      <c r="E21" s="27" t="inlineStr">
        <is>
          <t>https://www.socialmediaexaminer.com/repurposing-conference-talks-video/</t>
        </is>
      </c>
      <c r="F21" s="27" t="inlineStr">
        <is>
          <t>Authoritative guide for social media managers and agency directors scaling content. (Phase 2 Baseline (Google Search Rank #2 for Q013))</t>
        </is>
      </c>
      <c r="G21" s="27" t="inlineStr">
        <is>
          <t>Pitch an agency case study demonstrating 70% labor reduction using CreatorOps.</t>
        </is>
      </c>
      <c r="H21" s="27" t="inlineStr">
        <is>
          <t>Publisher: Social Media Examiner | Competitors: Descript, Repurpose.io, OpusClip</t>
        </is>
      </c>
      <c r="I21" s="27" t="inlineStr">
        <is>
          <t>Target Identified</t>
        </is>
      </c>
      <c r="J21" s="28">
        <f>IF(A21="","",IF(COUNTIF($A$5:$A$84,A21)&gt;1,"DUPLICATE","UNIQUE"))</f>
        <v/>
      </c>
      <c r="K21" s="28">
        <f>IF(A21="","",IF(AND(B21&lt;&gt;"",C21&lt;&gt;"",D21&lt;&gt;"",E21&lt;&gt;"",F21&lt;&gt;"",I21&lt;&gt;""),"COMPLETE","MISSING FIELDS"))</f>
        <v/>
      </c>
    </row>
    <row r="22" ht="15" customHeight="1" s="15">
      <c r="A22" s="27" t="inlineStr">
        <is>
          <t>C08</t>
        </is>
      </c>
      <c r="B22" s="27" t="inlineStr">
        <is>
          <t>Citation Target</t>
        </is>
      </c>
      <c r="C22" s="27" t="inlineStr">
        <is>
          <t>Q002, Q022</t>
        </is>
      </c>
      <c r="D22" s="27" t="inlineStr">
        <is>
          <t>Video Podcasting Guide: How to Turn Episodes into Shorts</t>
        </is>
      </c>
      <c r="E22" s="27" t="inlineStr">
        <is>
          <t>https://www.thepodcasthost.com/recording-skills/video-podcasting/</t>
        </is>
      </c>
      <c r="F22" s="27" t="inlineStr">
        <is>
          <t>Core technical reference for independent and professional podcast producers. (Phase 2 Baseline (Google UK Rank #3 for Q002))</t>
        </is>
      </c>
      <c r="G22" s="27" t="inlineStr">
        <is>
          <t>Provide guest data on credit economics (~14 credits/min) for weekly podcast networks.</t>
        </is>
      </c>
      <c r="H22" s="27" t="inlineStr">
        <is>
          <t>Publisher: The Podcast Host | Competitors: Headliner, Descript, Riverside, OpusClip</t>
        </is>
      </c>
      <c r="I22" s="27" t="inlineStr">
        <is>
          <t>Target Identified</t>
        </is>
      </c>
      <c r="J22" s="28">
        <f>IF(A22="","",IF(COUNTIF($A$5:$A$84,A22)&gt;1,"DUPLICATE","UNIQUE"))</f>
        <v/>
      </c>
      <c r="K22" s="28">
        <f>IF(A22="","",IF(AND(B22&lt;&gt;"",C22&lt;&gt;"",D22&lt;&gt;"",E22&lt;&gt;"",F22&lt;&gt;"",I22&lt;&gt;""),"COMPLETE","MISSING FIELDS"))</f>
        <v/>
      </c>
    </row>
    <row r="23" ht="15" customHeight="1" s="15">
      <c r="A23" s="27" t="inlineStr">
        <is>
          <t>C09</t>
        </is>
      </c>
      <c r="B23" s="27" t="inlineStr">
        <is>
          <t>Citation Target</t>
        </is>
      </c>
      <c r="C23" s="27" t="inlineStr">
        <is>
          <t>Q071, Q075</t>
        </is>
      </c>
      <c r="D23" s="27" t="inlineStr">
        <is>
          <t>The Complete Guide to Cross-Posting Video to Shorts, Reels &amp; TikTok</t>
        </is>
      </c>
      <c r="E23" s="27" t="inlineStr">
        <is>
          <t>https://buffer.com/resources/cross-posting-video/</t>
        </is>
      </c>
      <c r="F23" s="27" t="inlineStr">
        <is>
          <t>Industry standard guide on multi-platform social media scheduling. (Phase 2 Baseline (Perplexity &amp; Google Citation for Q071))</t>
        </is>
      </c>
      <c r="G23" s="27" t="inlineStr">
        <is>
          <t>Highlight the efficiency of unified AI video clipping plus direct API scheduling without third-party tools.</t>
        </is>
      </c>
      <c r="H23" s="27" t="inlineStr">
        <is>
          <t>Publisher: Buffer | Competitors: Buffer, Hootsuite, Later, Sprout Social</t>
        </is>
      </c>
      <c r="I23" s="27" t="inlineStr">
        <is>
          <t>Target Identified</t>
        </is>
      </c>
      <c r="J23" s="28">
        <f>IF(A23="","",IF(COUNTIF($A$5:$A$84,A23)&gt;1,"DUPLICATE","UNIQUE"))</f>
        <v/>
      </c>
      <c r="K23" s="28">
        <f>IF(A23="","",IF(AND(B23&lt;&gt;"",C23&lt;&gt;"",D23&lt;&gt;"",E23&lt;&gt;"",F23&lt;&gt;"",I23&lt;&gt;""),"COMPLETE","MISSING FIELDS"))</f>
        <v/>
      </c>
    </row>
    <row r="24" ht="15" customHeight="1" s="15">
      <c r="A24" s="27" t="inlineStr">
        <is>
          <t>C10</t>
        </is>
      </c>
      <c r="B24" s="27" t="inlineStr">
        <is>
          <t>Citation Target</t>
        </is>
      </c>
      <c r="C24" s="27" t="inlineStr">
        <is>
          <t>Q001, Q041</t>
        </is>
      </c>
      <c r="D24" s="27" t="inlineStr">
        <is>
          <t>Best AI video editors of 2026: Tested by experts</t>
        </is>
      </c>
      <c r="E24" s="27" t="inlineStr">
        <is>
          <t>https://www.techradar.com/best/best-ai-video-editor</t>
        </is>
      </c>
      <c r="F24" s="27" t="inlineStr">
        <is>
          <t>Global consumer and professional tech review authority with massive LLM indexing weight. (Phase 2 Baseline (Perplexity Citation for Q001))</t>
        </is>
      </c>
      <c r="G24" s="27" t="inlineStr">
        <is>
          <t>Submit IncuBrix for inclusion in the 'Best for Social Video Repurposing' category.</t>
        </is>
      </c>
      <c r="H24" s="27" t="inlineStr">
        <is>
          <t>Publisher: TechRadar | Competitors: Adobe Premiere, DaVinci Resolve, Runway, Descript</t>
        </is>
      </c>
      <c r="I24" s="27" t="inlineStr">
        <is>
          <t>Target Identified</t>
        </is>
      </c>
      <c r="J24" s="28">
        <f>IF(A24="","",IF(COUNTIF($A$5:$A$84,A24)&gt;1,"DUPLICATE","UNIQUE"))</f>
        <v/>
      </c>
      <c r="K24" s="28">
        <f>IF(A24="","",IF(AND(B24&lt;&gt;"",C24&lt;&gt;"",D24&lt;&gt;"",E24&lt;&gt;"",F24&lt;&gt;"",I24&lt;&gt;""),"COMPLETE","MISSING FIELDS"))</f>
        <v/>
      </c>
    </row>
    <row r="25" ht="15" customHeight="1" s="15">
      <c r="A25" s="27" t="inlineStr">
        <is>
          <t>C11</t>
        </is>
      </c>
      <c r="B25" s="27" t="inlineStr">
        <is>
          <t>Citation Target</t>
        </is>
      </c>
      <c r="C25" s="27" t="inlineStr">
        <is>
          <t>Q041, Q048</t>
        </is>
      </c>
      <c r="D25" s="27" t="inlineStr">
        <is>
          <t>Best AI Video Repurposing Software Grid 2026</t>
        </is>
      </c>
      <c r="E25" s="27" t="inlineStr">
        <is>
          <t>https://www.g2.com/categories/ai-video-generators</t>
        </is>
      </c>
      <c r="F25" s="27" t="inlineStr">
        <is>
          <t>The most influential enterprise software review directory in the world. (Phase 2 Baseline (Google Search Top 5 for Q041))</t>
        </is>
      </c>
      <c r="G25" s="27" t="inlineStr">
        <is>
          <t>Claim official vendor profile for IncuBrix Private Limited and collect authentic user reviews.</t>
        </is>
      </c>
      <c r="H25" s="27" t="inlineStr">
        <is>
          <t>Publisher: G2 | Competitors: OpusClip, Descript, Synthesia, HeyGen, Veed</t>
        </is>
      </c>
      <c r="I25" s="27" t="inlineStr">
        <is>
          <t>Target Identified</t>
        </is>
      </c>
      <c r="J25" s="28">
        <f>IF(A25="","",IF(COUNTIF($A$5:$A$84,A25)&gt;1,"DUPLICATE","UNIQUE"))</f>
        <v/>
      </c>
      <c r="K25" s="28">
        <f>IF(A25="","",IF(AND(B25&lt;&gt;"",C25&lt;&gt;"",D25&lt;&gt;"",E25&lt;&gt;"",F25&lt;&gt;"",I25&lt;&gt;""),"COMPLETE","MISSING FIELDS"))</f>
        <v/>
      </c>
    </row>
    <row r="26" ht="15" customHeight="1" s="15">
      <c r="A26" s="27" t="inlineStr">
        <is>
          <t>C12</t>
        </is>
      </c>
      <c r="B26" s="27" t="inlineStr">
        <is>
          <t>Citation Target</t>
        </is>
      </c>
      <c r="C26" s="27" t="inlineStr">
        <is>
          <t>Q041, Q044</t>
        </is>
      </c>
      <c r="D26" s="27" t="inlineStr">
        <is>
          <t>Video Repurposing Software Directory &amp; Reviews</t>
        </is>
      </c>
      <c r="E26" s="27" t="inlineStr">
        <is>
          <t>https://www.capterra.com/video-editing-software/</t>
        </is>
      </c>
      <c r="F26" s="27" t="inlineStr">
        <is>
          <t>Gartner-owned business software comparison directory. (Phase 2 Baseline (Google Search Top 5 for Q044))</t>
        </is>
      </c>
      <c r="G26" s="27" t="inlineStr">
        <is>
          <t>List IncuBrix under Video Editing and Content Repurposing categories with verified pricing tiers.</t>
        </is>
      </c>
      <c r="H26" s="27" t="inlineStr">
        <is>
          <t>Publisher: Capterra | Competitors: Descript, Camtasia, Filmora, OpusClip</t>
        </is>
      </c>
      <c r="I26" s="27" t="inlineStr">
        <is>
          <t>Target Identified</t>
        </is>
      </c>
      <c r="J26" s="28">
        <f>IF(A26="","",IF(COUNTIF($A$5:$A$84,A26)&gt;1,"DUPLICATE","UNIQUE"))</f>
        <v/>
      </c>
      <c r="K26" s="28">
        <f>IF(A26="","",IF(AND(B26&lt;&gt;"",C26&lt;&gt;"",D26&lt;&gt;"",E26&lt;&gt;"",F26&lt;&gt;"",I26&lt;&gt;""),"COMPLETE","MISSING FIELDS"))</f>
        <v/>
      </c>
    </row>
    <row r="27" ht="15" customHeight="1" s="15">
      <c r="A27" s="27" t="inlineStr">
        <is>
          <t>C13</t>
        </is>
      </c>
      <c r="B27" s="27" t="inlineStr">
        <is>
          <t>Citation Target</t>
        </is>
      </c>
      <c r="C27" s="27" t="inlineStr">
        <is>
          <t>Q051, Q091</t>
        </is>
      </c>
      <c r="D27" s="27" t="inlineStr">
        <is>
          <t>IncuBrix Product Launch &amp; Creator Tools Discussion</t>
        </is>
      </c>
      <c r="E27" s="27" t="inlineStr">
        <is>
          <t>https://www.producthunt.com/topics/video-editing</t>
        </is>
      </c>
      <c r="F27" s="27" t="inlineStr">
        <is>
          <t>Premier global launch platform for early-adopter creators and growth engineers. (Phase 2 Baseline (Competitor launch tracking))</t>
        </is>
      </c>
      <c r="G27" s="27" t="inlineStr">
        <is>
          <t>Official public launch of IncuBrix CreatorOps Studio showcasing the 5 lifecycle stages.</t>
        </is>
      </c>
      <c r="H27" s="27" t="inlineStr">
        <is>
          <t>Publisher: Product Hunt | Competitors: Klap, Submagic, OpusClip, Podsqueeze</t>
        </is>
      </c>
      <c r="I27" s="27" t="inlineStr">
        <is>
          <t>Target Identified</t>
        </is>
      </c>
      <c r="J27" s="28">
        <f>IF(A27="","",IF(COUNTIF($A$5:$A$84,A27)&gt;1,"DUPLICATE","UNIQUE"))</f>
        <v/>
      </c>
      <c r="K27" s="28">
        <f>IF(A27="","",IF(AND(B27&lt;&gt;"",C27&lt;&gt;"",D27&lt;&gt;"",E27&lt;&gt;"",F27&lt;&gt;"",I27&lt;&gt;""),"COMPLETE","MISSING FIELDS"))</f>
        <v/>
      </c>
    </row>
    <row r="28" ht="15" customHeight="1" s="15">
      <c r="A28" s="27" t="inlineStr">
        <is>
          <t>C14</t>
        </is>
      </c>
      <c r="B28" s="27" t="inlineStr">
        <is>
          <t>Citation Target</t>
        </is>
      </c>
      <c r="C28" s="27" t="inlineStr">
        <is>
          <t>Q001, Q041</t>
        </is>
      </c>
      <c r="D28" s="27" t="inlineStr">
        <is>
          <t>Best AI Video Repurposing &amp; Auto-Clipping Tools</t>
        </is>
      </c>
      <c r="E28" s="27" t="inlineStr">
        <is>
          <t>https://www.toolify.ai/category/video-editing</t>
        </is>
      </c>
      <c r="F28" s="27" t="inlineStr">
        <is>
          <t>Massive dedicated AI tool index with high monthly visitor volume. (Phase 2 Baseline (AI directory analysis))</t>
        </is>
      </c>
      <c r="G28" s="27" t="inlineStr">
        <is>
          <t>Submit IncuBrix with accurate tags: AI Video Repurposing, CreatorOps, Subtitles, Multi-Publish.</t>
        </is>
      </c>
      <c r="H28" s="27" t="inlineStr">
        <is>
          <t>Publisher: Toolify.ai | Competitors: Munch, OpusClip, Klap, 2short.ai</t>
        </is>
      </c>
      <c r="I28" s="27" t="inlineStr">
        <is>
          <t>Target Identified</t>
        </is>
      </c>
      <c r="J28" s="28">
        <f>IF(A28="","",IF(COUNTIF($A$5:$A$84,A28)&gt;1,"DUPLICATE","UNIQUE"))</f>
        <v/>
      </c>
      <c r="K28" s="28">
        <f>IF(A28="","",IF(AND(B28&lt;&gt;"",C28&lt;&gt;"",D28&lt;&gt;"",E28&lt;&gt;"",F28&lt;&gt;"",I28&lt;&gt;""),"COMPLETE","MISSING FIELDS"))</f>
        <v/>
      </c>
    </row>
    <row r="29" ht="15" customHeight="1" s="15">
      <c r="A29" s="27" t="inlineStr">
        <is>
          <t>C15</t>
        </is>
      </c>
      <c r="B29" s="27" t="inlineStr">
        <is>
          <t>Citation Target</t>
        </is>
      </c>
      <c r="C29" s="27" t="inlineStr">
        <is>
          <t>Q014, Q021</t>
        </is>
      </c>
      <c r="D29" s="27" t="inlineStr">
        <is>
          <t>8 Best AI Video Clipping Tools to Turn Long Videos into Shorts</t>
        </is>
      </c>
      <c r="E29" s="27" t="inlineStr">
        <is>
          <t>https://geekflare.com/best-ai-video-clippers/</t>
        </is>
      </c>
      <c r="F29" s="27" t="inlineStr">
        <is>
          <t>High-authority tech blog focused on developer, creator, and productivity tools. (Phase 2 Baseline (Perplexity Citation for Q014))</t>
        </is>
      </c>
      <c r="G29" s="27" t="inlineStr">
        <is>
          <t>Pitch IncuBrix as the only platform combining Whisper diarization with direct social publishing.</t>
        </is>
      </c>
      <c r="H29" s="27" t="inlineStr">
        <is>
          <t>Publisher: Geekflare | Competitors: OpusClip, Vizard, Klap, Vidyo.ai</t>
        </is>
      </c>
      <c r="I29" s="27" t="inlineStr">
        <is>
          <t>Target Identified</t>
        </is>
      </c>
      <c r="J29" s="28">
        <f>IF(A29="","",IF(COUNTIF($A$5:$A$84,A29)&gt;1,"DUPLICATE","UNIQUE"))</f>
        <v/>
      </c>
      <c r="K29" s="28">
        <f>IF(A29="","",IF(AND(B29&lt;&gt;"",C29&lt;&gt;"",D29&lt;&gt;"",E29&lt;&gt;"",F29&lt;&gt;"",I29&lt;&gt;""),"COMPLETE","MISSING FIELDS"))</f>
        <v/>
      </c>
    </row>
    <row r="30" ht="15" customHeight="1" s="15">
      <c r="A30" s="27" t="inlineStr">
        <is>
          <t>C16</t>
        </is>
      </c>
      <c r="B30" s="27" t="inlineStr">
        <is>
          <t>Citation Target</t>
        </is>
      </c>
      <c r="C30" s="27" t="inlineStr">
        <is>
          <t>Q001, Q042</t>
        </is>
      </c>
      <c r="D30" s="27" t="inlineStr">
        <is>
          <t>The Best Video Editing Software for Creators in 2026</t>
        </is>
      </c>
      <c r="E30" s="27" t="inlineStr">
        <is>
          <t>https://www.pcmag.com/picks/the-best-video-editing-software</t>
        </is>
      </c>
      <c r="F30" s="27" t="inlineStr">
        <is>
          <t>Premier editorial authority for consumer and prosumer digital video technology. (Phase 2 Baseline (Google Search Top 3 for Q001))</t>
        </is>
      </c>
      <c r="G30" s="27" t="inlineStr">
        <is>
          <t>Position IncuBrix as an innovative browser-based CreatorOps alternative to traditional NLEs.</t>
        </is>
      </c>
      <c r="H30" s="27" t="inlineStr">
        <is>
          <t>Publisher: PCMag | Competitors: Adobe Premiere, CyberLink, Apple Final Cut, Descript</t>
        </is>
      </c>
      <c r="I30" s="27" t="inlineStr">
        <is>
          <t>Target Identified</t>
        </is>
      </c>
      <c r="J30" s="28">
        <f>IF(A30="","",IF(COUNTIF($A$5:$A$84,A30)&gt;1,"DUPLICATE","UNIQUE"))</f>
        <v/>
      </c>
      <c r="K30" s="28">
        <f>IF(A30="","",IF(AND(B30&lt;&gt;"",C30&lt;&gt;"",D30&lt;&gt;"",E30&lt;&gt;"",F30&lt;&gt;"",I30&lt;&gt;""),"COMPLETE","MISSING FIELDS"))</f>
        <v/>
      </c>
    </row>
    <row r="31" ht="15" customHeight="1" s="15">
      <c r="A31" s="27" t="inlineStr">
        <is>
          <t>C17</t>
        </is>
      </c>
      <c r="B31" s="27" t="inlineStr">
        <is>
          <t>Citation Target</t>
        </is>
      </c>
      <c r="C31" s="27" t="inlineStr">
        <is>
          <t>Q021, Q025</t>
        </is>
      </c>
      <c r="D31" s="27" t="inlineStr">
        <is>
          <t>How to Repurpose YouTube Videos into Viral Shorts Fast</t>
        </is>
      </c>
      <c r="E31" s="27" t="inlineStr">
        <is>
          <t>https://vidiq.com/blog/post/how-to-make-youtube-shorts/</t>
        </is>
      </c>
      <c r="F31" s="27" t="inlineStr">
        <is>
          <t>The leading software authority for YouTube video creators and channel growth. (Phase 2 Baseline (Google Search Rank #2 for Q021))</t>
        </is>
      </c>
      <c r="G31" s="27" t="inlineStr">
        <is>
          <t>Collaborate on retention research showing impact of kinetic animated subtitles.</t>
        </is>
      </c>
      <c r="H31" s="27" t="inlineStr">
        <is>
          <t>Publisher: VidIQ | Competitors: VidIQ, OpusClip, Premiere Pro</t>
        </is>
      </c>
      <c r="I31" s="27" t="inlineStr">
        <is>
          <t>Target Identified</t>
        </is>
      </c>
      <c r="J31" s="28">
        <f>IF(A31="","",IF(COUNTIF($A$5:$A$84,A31)&gt;1,"DUPLICATE","UNIQUE"))</f>
        <v/>
      </c>
      <c r="K31" s="28">
        <f>IF(A31="","",IF(AND(B31&lt;&gt;"",C31&lt;&gt;"",D31&lt;&gt;"",E31&lt;&gt;"",F31&lt;&gt;"",I31&lt;&gt;""),"COMPLETE","MISSING FIELDS"))</f>
        <v/>
      </c>
    </row>
    <row r="32" ht="15" customHeight="1" s="15">
      <c r="A32" s="27" t="inlineStr">
        <is>
          <t>C18</t>
        </is>
      </c>
      <c r="B32" s="27" t="inlineStr">
        <is>
          <t>Citation Target</t>
        </is>
      </c>
      <c r="C32" s="27" t="inlineStr">
        <is>
          <t>Q071, Q075</t>
        </is>
      </c>
      <c r="D32" s="27" t="inlineStr">
        <is>
          <t>How to Schedule Instagram Reels and TikToks from Desktop</t>
        </is>
      </c>
      <c r="E32" s="27" t="inlineStr">
        <is>
          <t>https://later.com/blog/schedule-instagram-reels/</t>
        </is>
      </c>
      <c r="F32" s="27" t="inlineStr">
        <is>
          <t>Authoritative social media marketing blog with millions of monthly agency readers. (Phase 2 Baseline (Google Search Rank #3 for Q071))</t>
        </is>
      </c>
      <c r="G32" s="27" t="inlineStr">
        <is>
          <t>Highlight the advantage of rendering and scheduling in one tool without file transfer friction.</t>
        </is>
      </c>
      <c r="H32" s="27" t="inlineStr">
        <is>
          <t>Publisher: Later | Competitors: Later, Planoly, Buffer, Sprout Social</t>
        </is>
      </c>
      <c r="I32" s="27" t="inlineStr">
        <is>
          <t>Target Identified</t>
        </is>
      </c>
      <c r="J32" s="28">
        <f>IF(A32="","",IF(COUNTIF($A$5:$A$84,A32)&gt;1,"DUPLICATE","UNIQUE"))</f>
        <v/>
      </c>
      <c r="K32" s="28">
        <f>IF(A32="","",IF(AND(B32&lt;&gt;"",C32&lt;&gt;"",D32&lt;&gt;"",E32&lt;&gt;"",F32&lt;&gt;"",I32&lt;&gt;""),"COMPLETE","MISSING FIELDS"))</f>
        <v/>
      </c>
    </row>
    <row r="33" ht="15" customHeight="1" s="15">
      <c r="A33" s="27" t="inlineStr">
        <is>
          <t>C19</t>
        </is>
      </c>
      <c r="B33" s="27" t="inlineStr">
        <is>
          <t>Citation Target</t>
        </is>
      </c>
      <c r="C33" s="27" t="inlineStr">
        <is>
          <t>Q008, Q022</t>
        </is>
      </c>
      <c r="D33" s="27" t="inlineStr">
        <is>
          <t>How to make podcast audiograms and vertical video clips</t>
        </is>
      </c>
      <c r="E33" s="27" t="inlineStr">
        <is>
          <t>https://headliner.app/blog/how-to-make-podcast-audiogram</t>
        </is>
      </c>
      <c r="F33" s="27" t="inlineStr">
        <is>
          <t>Leading tool for podcast audiograms and waveform animation. (Phase 2 Baseline (Google Search Rank #2 for Q008))</t>
        </is>
      </c>
      <c r="G33" s="27" t="inlineStr">
        <is>
          <t>Contrast static audiograms with full-motion active speaker tracking video shorts.</t>
        </is>
      </c>
      <c r="H33" s="27" t="inlineStr">
        <is>
          <t>Publisher: Headliner | Competitors: Headliner, Wavve, Descript</t>
        </is>
      </c>
      <c r="I33" s="27" t="inlineStr">
        <is>
          <t>Target Identified</t>
        </is>
      </c>
      <c r="J33" s="28">
        <f>IF(A33="","",IF(COUNTIF($A$5:$A$84,A33)&gt;1,"DUPLICATE","UNIQUE"))</f>
        <v/>
      </c>
      <c r="K33" s="28">
        <f>IF(A33="","",IF(AND(B33&lt;&gt;"",C33&lt;&gt;"",D33&lt;&gt;"",E33&lt;&gt;"",F33&lt;&gt;"",I33&lt;&gt;""),"COMPLETE","MISSING FIELDS"))</f>
        <v/>
      </c>
    </row>
    <row r="34" ht="15" customHeight="1" s="15">
      <c r="A34" s="27" t="inlineStr">
        <is>
          <t>C20</t>
        </is>
      </c>
      <c r="B34" s="27" t="inlineStr">
        <is>
          <t>Citation Target</t>
        </is>
      </c>
      <c r="C34" s="27" t="inlineStr">
        <is>
          <t>Q004, Q017</t>
        </is>
      </c>
      <c r="D34" s="27" t="inlineStr">
        <is>
          <t>Best Twitch and Kick Clipping Software for Streamers</t>
        </is>
      </c>
      <c r="E34" s="27" t="inlineStr">
        <is>
          <t>https://streamladder.com/blog/best-twitch-clipping-software</t>
        </is>
      </c>
      <c r="F34" s="27" t="inlineStr">
        <is>
          <t>Popular tool dedicated to converting Twitch/Kick VODs into vertical TikTok clips. (Phase 2 Baseline (Perplexity Citation for Q004))</t>
        </is>
      </c>
      <c r="G34" s="27" t="inlineStr">
        <is>
          <t>Highlight IncuBrix's multi-speaker tracking for co-streamers and podcast interviews.</t>
        </is>
      </c>
      <c r="H34" s="27" t="inlineStr">
        <is>
          <t>Publisher: Streamladder | Competitors: Streamladder, Crossclip, Powder, Eklipse</t>
        </is>
      </c>
      <c r="I34" s="27" t="inlineStr">
        <is>
          <t>Target Identified</t>
        </is>
      </c>
      <c r="J34" s="28">
        <f>IF(A34="","",IF(COUNTIF($A$5:$A$84,A34)&gt;1,"DUPLICATE","UNIQUE"))</f>
        <v/>
      </c>
      <c r="K34" s="28">
        <f>IF(A34="","",IF(AND(B34&lt;&gt;"",C34&lt;&gt;"",D34&lt;&gt;"",E34&lt;&gt;"",F34&lt;&gt;"",I34&lt;&gt;""),"COMPLETE","MISSING FIELDS"))</f>
        <v/>
      </c>
    </row>
    <row r="35" ht="15" customHeight="1" s="15">
      <c r="A35" s="27" t="inlineStr">
        <is>
          <t>C21</t>
        </is>
      </c>
      <c r="B35" s="27" t="inlineStr">
        <is>
          <t>Citation Target</t>
        </is>
      </c>
      <c r="C35" s="27" t="inlineStr">
        <is>
          <t>Q001, Q041</t>
        </is>
      </c>
      <c r="D35" s="27" t="inlineStr">
        <is>
          <t>10 Best AI Video Generators &amp; Repurposing Tools</t>
        </is>
      </c>
      <c r="E35" s="27" t="inlineStr">
        <is>
          <t>https://www.unite.ai/best-ai-video-generators/</t>
        </is>
      </c>
      <c r="F35" s="27" t="inlineStr">
        <is>
          <t>Authoritative artificial intelligence industry news and tool evaluation site. (Phase 2 Baseline (Perplexity Citation for Q001))</t>
        </is>
      </c>
      <c r="G35" s="27" t="inlineStr">
        <is>
          <t>Present IncuBrix's technical architecture (Whisper diarization + client-side IndexedDB encryption).</t>
        </is>
      </c>
      <c r="H35" s="27" t="inlineStr">
        <is>
          <t>Publisher: Unite.ai | Competitors: Synthesia, Deepbrain AI, InVideo, Descript</t>
        </is>
      </c>
      <c r="I35" s="27" t="inlineStr">
        <is>
          <t>Target Identified</t>
        </is>
      </c>
      <c r="J35" s="28">
        <f>IF(A35="","",IF(COUNTIF($A$5:$A$84,A35)&gt;1,"DUPLICATE","UNIQUE"))</f>
        <v/>
      </c>
      <c r="K35" s="28">
        <f>IF(A35="","",IF(AND(B35&lt;&gt;"",C35&lt;&gt;"",D35&lt;&gt;"",E35&lt;&gt;"",F35&lt;&gt;"",I35&lt;&gt;""),"COMPLETE","MISSING FIELDS"))</f>
        <v/>
      </c>
    </row>
    <row r="36" ht="15" customHeight="1" s="15">
      <c r="A36" s="27" t="inlineStr">
        <is>
          <t>C22</t>
        </is>
      </c>
      <c r="B36" s="27" t="inlineStr">
        <is>
          <t>Citation Target</t>
        </is>
      </c>
      <c r="C36" s="27" t="inlineStr">
        <is>
          <t>Q011, Q048</t>
        </is>
      </c>
      <c r="D36" s="27" t="inlineStr">
        <is>
          <t>How Digital Marketing Agencies Use AI Video Tools to Scale Content</t>
        </is>
      </c>
      <c r="E36" s="27" t="inlineStr">
        <is>
          <t>https://econsultancy.com/ai-video-tools-agencies/</t>
        </is>
      </c>
      <c r="F36" s="27" t="inlineStr">
        <is>
          <t>Premier UK digital marketing research organization read by agency executives. (Phase 2 Baseline (Perplexity &amp; Google UK Citation for Q011))</t>
        </is>
      </c>
      <c r="G36" s="27" t="inlineStr">
        <is>
          <t>Pitch our Agency Repurposing Operating Model (saving $595/mo per client) as an editorial case study.</t>
        </is>
      </c>
      <c r="H36" s="27" t="inlineStr">
        <is>
          <t>Publisher: Econsultancy | Competitors: Adobe, Canva, Descript, Brandwatch</t>
        </is>
      </c>
      <c r="I36" s="27" t="inlineStr">
        <is>
          <t>Target Identified</t>
        </is>
      </c>
      <c r="J36" s="28">
        <f>IF(A36="","",IF(COUNTIF($A$5:$A$84,A36)&gt;1,"DUPLICATE","UNIQUE"))</f>
        <v/>
      </c>
      <c r="K36" s="28">
        <f>IF(A36="","",IF(AND(B36&lt;&gt;"",C36&lt;&gt;"",D36&lt;&gt;"",E36&lt;&gt;"",F36&lt;&gt;"",I36&lt;&gt;""),"COMPLETE","MISSING FIELDS"))</f>
        <v/>
      </c>
    </row>
    <row r="37" ht="15" customHeight="1" s="15">
      <c r="A37" s="27" t="inlineStr">
        <is>
          <t>C23</t>
        </is>
      </c>
      <c r="B37" s="27" t="inlineStr">
        <is>
          <t>Citation Target</t>
        </is>
      </c>
      <c r="C37" s="27" t="inlineStr">
        <is>
          <t>Q041, Q044</t>
        </is>
      </c>
      <c r="D37" s="27" t="inlineStr">
        <is>
          <t>OpusClip vs Descript vs IncuBrix: Best Video Clipper</t>
        </is>
      </c>
      <c r="E37" s="27" t="inlineStr">
        <is>
          <t>https://www.softwarepundit.com/video-editing</t>
        </is>
      </c>
      <c r="F37" s="27" t="inlineStr">
        <is>
          <t>Independent software advisory platform providing analytical software teardowns. (Phase 2 Baseline (Google Search Rank #4 for Q041))</t>
        </is>
      </c>
      <c r="G37" s="27" t="inlineStr">
        <is>
          <t>Provide verified pricing data for IncuBrix (Starter $10, Essential $20, Growth $50) with ~14 credits/min standard.</t>
        </is>
      </c>
      <c r="H37" s="27" t="inlineStr">
        <is>
          <t>Publisher: SoftwarePundit | Competitors: OpusClip, Descript, Veed, Kapwing</t>
        </is>
      </c>
      <c r="I37" s="27" t="inlineStr">
        <is>
          <t>Target Identified</t>
        </is>
      </c>
      <c r="J37" s="28">
        <f>IF(A37="","",IF(COUNTIF($A$5:$A$84,A37)&gt;1,"DUPLICATE","UNIQUE"))</f>
        <v/>
      </c>
      <c r="K37" s="28">
        <f>IF(A37="","",IF(AND(B37&lt;&gt;"",C37&lt;&gt;"",D37&lt;&gt;"",E37&lt;&gt;"",F37&lt;&gt;"",I37&lt;&gt;""),"COMPLETE","MISSING FIELDS"))</f>
        <v/>
      </c>
    </row>
    <row r="38" ht="15" customHeight="1" s="15">
      <c r="A38" s="27" t="inlineStr">
        <is>
          <t>C24</t>
        </is>
      </c>
      <c r="B38" s="27" t="inlineStr">
        <is>
          <t>Citation Target</t>
        </is>
      </c>
      <c r="C38" s="27" t="inlineStr">
        <is>
          <t>Q048, Q095</t>
        </is>
      </c>
      <c r="D38" s="27" t="inlineStr">
        <is>
          <t>The Agency Guide to Scaling Video Production for Clients</t>
        </is>
      </c>
      <c r="E38" s="27" t="inlineStr">
        <is>
          <t>https://agencyanalytics.com/blog/video-marketing-agency</t>
        </is>
      </c>
      <c r="F38" s="27" t="inlineStr">
        <is>
          <t>Leading reporting platform for marketing agencies worldwide. (Phase 2 Baseline (Google Search Rank #3 for Q095))</t>
        </is>
      </c>
      <c r="G38" s="27" t="inlineStr">
        <is>
          <t>Co-publish research on multi-client workspace management and credit pooling.</t>
        </is>
      </c>
      <c r="H38" s="27" t="inlineStr">
        <is>
          <t>Publisher: AgencyAnalytics | Competitors: Descript, Premiere, Sprout Social</t>
        </is>
      </c>
      <c r="I38" s="27" t="inlineStr">
        <is>
          <t>Target Identified</t>
        </is>
      </c>
      <c r="J38" s="28">
        <f>IF(A38="","",IF(COUNTIF($A$5:$A$84,A38)&gt;1,"DUPLICATE","UNIQUE"))</f>
        <v/>
      </c>
      <c r="K38" s="28">
        <f>IF(A38="","",IF(AND(B38&lt;&gt;"",C38&lt;&gt;"",D38&lt;&gt;"",E38&lt;&gt;"",F38&lt;&gt;"",I38&lt;&gt;""),"COMPLETE","MISSING FIELDS"))</f>
        <v/>
      </c>
    </row>
    <row r="39" ht="15" customHeight="1" s="15">
      <c r="A39" s="27" t="inlineStr">
        <is>
          <t>C25</t>
        </is>
      </c>
      <c r="B39" s="27" t="inlineStr">
        <is>
          <t>Citation Target</t>
        </is>
      </c>
      <c r="C39" s="27" t="inlineStr">
        <is>
          <t>Q071, Q075</t>
        </is>
      </c>
      <c r="D39" s="27" t="inlineStr">
        <is>
          <t>Best Tools to Manage and Schedule Multi-Platform Short-Form Video</t>
        </is>
      </c>
      <c r="E39" s="27" t="inlineStr">
        <is>
          <t>https://www.socialpilot.co/blog/short-form-video-tools</t>
        </is>
      </c>
      <c r="F39" s="27" t="inlineStr">
        <is>
          <t>Popular social media scheduling platform with an active creator content hub. (Phase 2 Baseline (Perplexity Citation for Q071))</t>
        </is>
      </c>
      <c r="G39" s="27" t="inlineStr">
        <is>
          <t>Highlight the emerging category of unified CreatorOps combining AI editing with direct social posting.</t>
        </is>
      </c>
      <c r="H39" s="27" t="inlineStr">
        <is>
          <t>Publisher: SocialPilot | Competitors: SocialPilot, Buffer, Later, Hootsuite</t>
        </is>
      </c>
      <c r="I39" s="27" t="inlineStr">
        <is>
          <t>Target Identified</t>
        </is>
      </c>
      <c r="J39" s="28">
        <f>IF(A39="","",IF(COUNTIF($A$5:$A$84,A39)&gt;1,"DUPLICATE","UNIQUE"))</f>
        <v/>
      </c>
      <c r="K39" s="28">
        <f>IF(A39="","",IF(AND(B39&lt;&gt;"",C39&lt;&gt;"",D39&lt;&gt;"",E39&lt;&gt;"",F39&lt;&gt;"",I39&lt;&gt;""),"COMPLETE","MISSING FIELDS"))</f>
        <v/>
      </c>
    </row>
    <row r="40" ht="15" customHeight="1" s="15">
      <c r="A40" s="27" t="inlineStr">
        <is>
          <t>C26</t>
        </is>
      </c>
      <c r="B40" s="27" t="inlineStr">
        <is>
          <t>Citation Target</t>
        </is>
      </c>
      <c r="C40" s="27" t="inlineStr">
        <is>
          <t>Q025, Q081</t>
        </is>
      </c>
      <c r="D40" s="27" t="inlineStr">
        <is>
          <t>Short-Form Video Benchmarks: TikTok vs Reels vs Shorts</t>
        </is>
      </c>
      <c r="E40" s="27" t="inlineStr">
        <is>
          <t>https://www.socialinsider.io/blog/short-form-video-benchmarks/</t>
        </is>
      </c>
      <c r="F40" s="27" t="inlineStr">
        <is>
          <t>Premier social analytics research firm publishing empirical video retention benchmarks. (Phase 2 Baseline (Google Search Rank #2 for Q081))</t>
        </is>
      </c>
      <c r="G40" s="27" t="inlineStr">
        <is>
          <t>Cite Socialinsider metrics in IncuBrix documentation and share IncuBrix clipping engagement data.</t>
        </is>
      </c>
      <c r="H40" s="27" t="inlineStr">
        <is>
          <t>Publisher: Socialinsider | Competitors: Socialinsider, Sprout Social, Hootsuite</t>
        </is>
      </c>
      <c r="I40" s="27" t="inlineStr">
        <is>
          <t>Target Identified</t>
        </is>
      </c>
      <c r="J40" s="28">
        <f>IF(A40="","",IF(COUNTIF($A$5:$A$84,A40)&gt;1,"DUPLICATE","UNIQUE"))</f>
        <v/>
      </c>
      <c r="K40" s="28">
        <f>IF(A40="","",IF(AND(B40&lt;&gt;"",C40&lt;&gt;"",D40&lt;&gt;"",E40&lt;&gt;"",F40&lt;&gt;"",I40&lt;&gt;""),"COMPLETE","MISSING FIELDS"))</f>
        <v/>
      </c>
    </row>
    <row r="41" ht="15" customHeight="1" s="15">
      <c r="A41" s="27" t="inlineStr">
        <is>
          <t>C27</t>
        </is>
      </c>
      <c r="B41" s="27" t="inlineStr">
        <is>
          <t>Citation Target</t>
        </is>
      </c>
      <c r="C41" s="27" t="inlineStr">
        <is>
          <t>Q002, Q011</t>
        </is>
      </c>
      <c r="D41" s="27" t="inlineStr">
        <is>
          <t>Best workflow for turning 16:9 podcast to 9:16 vertical shorts?</t>
        </is>
      </c>
      <c r="E41" s="27" t="inlineStr">
        <is>
          <t>https://www.reddit.com/r/VideoEditing/comments/17q8j9w/best_ai_tools_for_repurposing_podcasts/</t>
        </is>
      </c>
      <c r="F41" s="27" t="inlineStr">
        <is>
          <t>Active community of 850k+ video editors sharing honest workflow critiques. (Phase 1 Research &amp; Phase 2 Google Discussions Rank #1)</t>
        </is>
      </c>
      <c r="G41" s="27" t="inlineStr">
        <is>
          <t>Provide factual, educational answers explaining VFR vs CFR ffmpeg conversion and safe zone math.</t>
        </is>
      </c>
      <c r="H41" s="27" t="inlineStr">
        <is>
          <t>Publisher: Reddit r/VideoEditing | Competitors: Premiere Auto Reframe, OpusClip, Descript, DaVinci</t>
        </is>
      </c>
      <c r="I41" s="27" t="inlineStr">
        <is>
          <t>Target Identified</t>
        </is>
      </c>
      <c r="J41" s="28">
        <f>IF(A41="","",IF(COUNTIF($A$5:$A$84,A41)&gt;1,"DUPLICATE","UNIQUE"))</f>
        <v/>
      </c>
      <c r="K41" s="28">
        <f>IF(A41="","",IF(AND(B41&lt;&gt;"",C41&lt;&gt;"",D41&lt;&gt;"",E41&lt;&gt;"",F41&lt;&gt;"",I41&lt;&gt;""),"COMPLETE","MISSING FIELDS"))</f>
        <v/>
      </c>
    </row>
    <row r="42" ht="15" customHeight="1" s="15">
      <c r="A42" s="27" t="inlineStr">
        <is>
          <t>C28</t>
        </is>
      </c>
      <c r="B42" s="27" t="inlineStr">
        <is>
          <t>Citation Target</t>
        </is>
      </c>
      <c r="C42" s="27" t="inlineStr">
        <is>
          <t>Q041, Q061</t>
        </is>
      </c>
      <c r="D42" s="27" t="inlineStr">
        <is>
          <t>Anyone using AI tools for auto-generating captions and clipping?</t>
        </is>
      </c>
      <c r="E42" s="27" t="inlineStr">
        <is>
          <t>https://www.reddit.com/r/ContentCreation/comments/16u8m2a/ai_clipping_tools_comparison/</t>
        </is>
      </c>
      <c r="F42" s="27" t="inlineStr">
        <is>
          <t>High-intent creator community comparing caption accuracy and pricing. (Phase 1 Question Discovery &amp; Phase 2 PAA Source)</t>
        </is>
      </c>
      <c r="G42" s="27" t="inlineStr">
        <is>
          <t>Share open styling tips (Montserrat ExtraBold, #FFE600 yellow highlight, 1-2 words per frame).</t>
        </is>
      </c>
      <c r="H42" s="27" t="inlineStr">
        <is>
          <t>Publisher: Reddit r/ContentCreation | Competitors: Submagic, CapCut, OpusClip, Veed</t>
        </is>
      </c>
      <c r="I42" s="27" t="inlineStr">
        <is>
          <t>Target Identified</t>
        </is>
      </c>
      <c r="J42" s="28">
        <f>IF(A42="","",IF(COUNTIF($A$5:$A$84,A42)&gt;1,"DUPLICATE","UNIQUE"))</f>
        <v/>
      </c>
      <c r="K42" s="28">
        <f>IF(A42="","",IF(AND(B42&lt;&gt;"",C42&lt;&gt;"",D42&lt;&gt;"",E42&lt;&gt;"",F42&lt;&gt;"",I42&lt;&gt;""),"COMPLETE","MISSING FIELDS"))</f>
        <v/>
      </c>
    </row>
    <row r="43" ht="15" customHeight="1" s="15">
      <c r="A43" s="27" t="inlineStr">
        <is>
          <t>C29</t>
        </is>
      </c>
      <c r="B43" s="27" t="inlineStr">
        <is>
          <t>Citation Target</t>
        </is>
      </c>
      <c r="C43" s="27" t="inlineStr">
        <is>
          <t>Q005, Q048</t>
        </is>
      </c>
      <c r="D43" s="27" t="inlineStr">
        <is>
          <t>How B2B Marketing Teams Repurpose Long Webinars into Shorts</t>
        </is>
      </c>
      <c r="E43" s="27" t="inlineStr">
        <is>
          <t>https://www.goldcast.io/blog/ai-webinar-repurposing</t>
        </is>
      </c>
      <c r="F43" s="27" t="inlineStr">
        <is>
          <t>Leading B2B enterprise event marketing software platform. (Phase 2 Baseline (Perplexity Citation for Q005))</t>
        </is>
      </c>
      <c r="G43" s="27" t="inlineStr">
        <is>
          <t>Highlight IncuBrix's multi-platform API distribution and slide-deck detection.</t>
        </is>
      </c>
      <c r="H43" s="27" t="inlineStr">
        <is>
          <t>Publisher: Goldcast | Competitors: Goldcast, Descript, OpusClip, Vizard</t>
        </is>
      </c>
      <c r="I43" s="27" t="inlineStr">
        <is>
          <t>Target Identified</t>
        </is>
      </c>
      <c r="J43" s="28">
        <f>IF(A43="","",IF(COUNTIF($A$5:$A$84,A43)&gt;1,"DUPLICATE","UNIQUE"))</f>
        <v/>
      </c>
      <c r="K43" s="28">
        <f>IF(A43="","",IF(AND(B43&lt;&gt;"",C43&lt;&gt;"",D43&lt;&gt;"",E43&lt;&gt;"",F43&lt;&gt;"",I43&lt;&gt;""),"COMPLETE","MISSING FIELDS"))</f>
        <v/>
      </c>
    </row>
    <row r="44" ht="15" customHeight="1" s="15">
      <c r="A44" s="27" t="inlineStr">
        <is>
          <t>C30</t>
        </is>
      </c>
      <c r="B44" s="27" t="inlineStr">
        <is>
          <t>Citation Target</t>
        </is>
      </c>
      <c r="C44" s="27" t="inlineStr">
        <is>
          <t>Q061, Q062</t>
        </is>
      </c>
      <c r="D44" s="27" t="inlineStr">
        <is>
          <t>How to create viral captions with animated emojis</t>
        </is>
      </c>
      <c r="E44" s="27" t="inlineStr">
        <is>
          <t>https://submagic.co/blog/how-to-create-viral-captions</t>
        </is>
      </c>
      <c r="F44" s="27" t="inlineStr">
        <is>
          <t>Category leader in kinetic social video captions and auto-emojis. (Phase 2 Baseline (Google Search Rank #1 for Q061))</t>
        </is>
      </c>
      <c r="G44" s="27" t="inlineStr">
        <is>
          <t>Benchmark subtitle rendering speed and accuracy against Whisper open-source models.</t>
        </is>
      </c>
      <c r="H44" s="27" t="inlineStr">
        <is>
          <t>Publisher: Submagic | Competitors: Submagic, CapCut, Premiere Pro</t>
        </is>
      </c>
      <c r="I44" s="27" t="inlineStr">
        <is>
          <t>Target Identified</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python run_engine.py --help</t>
        </is>
      </c>
      <c r="H6" s="23" t="inlineStr">
        <is>
          <t>Unified orchestrator CLI exposing status, sync-all, metrics, report, brief, refresh, dashboard, and test commands.</t>
        </is>
      </c>
    </row>
    <row r="7" ht="15" customHeight="1" s="15">
      <c r="A7" s="24" t="inlineStr">
        <is>
          <t>Works on a fresh machine or account</t>
        </is>
      </c>
      <c r="B7" s="23" t="inlineStr">
        <is>
          <t>Yes</t>
        </is>
      </c>
      <c r="C7" s="23" t="inlineStr">
        <is>
          <t>requirements.txt, README.md</t>
        </is>
      </c>
      <c r="H7" s="23" t="inlineStr">
        <is>
          <t>Clean virtualenv installation tested with Python 3.14 &amp; pytest; zero external binary dependencies required.</t>
        </is>
      </c>
    </row>
    <row r="8" ht="15" customHeight="1" s="15">
      <c r="A8" s="24" t="inlineStr">
        <is>
          <t>Removes duplicates</t>
        </is>
      </c>
      <c r="B8" s="23" t="inlineStr">
        <is>
          <t>Yes</t>
        </is>
      </c>
      <c r="C8" s="23" t="inlineStr">
        <is>
          <t>src/research/deduplicator.py, tests/test_research.py</t>
        </is>
      </c>
      <c r="H8" s="23" t="inlineStr">
        <is>
          <t>Multi-stage deduplication using MD5 text normalization and Jaccard similarity (&gt;0.85 threshold).</t>
        </is>
      </c>
    </row>
    <row r="9" ht="15" customHeight="1" s="15">
      <c r="A9" s="24" t="inlineStr">
        <is>
          <t>Quality checks before export</t>
        </is>
      </c>
      <c r="B9" s="23" t="inlineStr">
        <is>
          <t>Yes</t>
        </is>
      </c>
      <c r="C9" s="23" t="inlineStr">
        <is>
          <t>src/research/validator.py, src/content/publishing_validator.py</t>
        </is>
      </c>
      <c r="H9" s="23" t="inlineStr">
        <is>
          <t>Automated schema, URL validity, forbidden superlative, and direct-answer structure validators executed prior to export.</t>
        </is>
      </c>
    </row>
    <row r="10" ht="15" customHeight="1" s="15">
      <c r="A10" s="24" t="inlineStr">
        <is>
          <t>Clean export in the official format</t>
        </is>
      </c>
      <c r="B10" s="23" t="inlineStr">
        <is>
          <t>Yes</t>
        </is>
      </c>
      <c r="C10" s="23" t="inlineStr">
        <is>
          <t>data/visibility.csv, outputs/visibility.csv, src/visibility/baseline_exporter.py</t>
        </is>
      </c>
      <c r="H10" s="23" t="inlineStr">
        <is>
          <t>Exact 20-column official workbook format exported matching 02_QUESTIONS schema with 100 rows.</t>
        </is>
      </c>
    </row>
    <row r="11" ht="23.85" customHeight="1" s="15">
      <c r="A11" s="24" t="inlineStr">
        <is>
          <t>Refresh updates existing items without duplicates</t>
        </is>
      </c>
      <c r="B11" s="23" t="inlineStr">
        <is>
          <t>Yes</t>
        </is>
      </c>
      <c r="C11" s="23" t="inlineStr">
        <is>
          <t>src/engine/scheduler.py, src/engine/ingestion.py, tests/test_engine.py</t>
        </is>
      </c>
      <c r="H11" s="23" t="inlineStr">
        <is>
          <t>SQLite UPSERT and primary key idempotency prevent duplicate insertion while preserving historical observations.</t>
        </is>
      </c>
    </row>
    <row r="12" ht="15" customHeight="1" s="15">
      <c r="A12" s="24" t="inlineStr">
        <is>
          <t>Logs errors and recovers from a simple failure</t>
        </is>
      </c>
      <c r="B12" s="23" t="inlineStr">
        <is>
          <t>Yes</t>
        </is>
      </c>
      <c r="C12" s="23" t="inlineStr">
        <is>
          <t>src/engine/database.py, data/visibility.db (collection_errors table)</t>
        </is>
      </c>
      <c r="H12" s="23" t="inlineStr">
        <is>
          <t>Structured SQLite error logging with timestamp, error type, and stacktrace; graceful degradation on missing external APIs.</t>
        </is>
      </c>
    </row>
    <row r="13" ht="15" customHeight="1" s="15">
      <c r="A13" s="24" t="inlineStr">
        <is>
          <t>Tests included</t>
        </is>
      </c>
      <c r="B13" s="23" t="inlineStr">
        <is>
          <t>Yes</t>
        </is>
      </c>
      <c r="C13" s="23" t="inlineStr">
        <is>
          <t>tests/test_engine.py, pytest test suite (96 tests)</t>
        </is>
      </c>
      <c r="H13" s="23" t="inlineStr">
        <is>
          <t>96 passing pytest unit and integration tests covering data ingestion, metrics, schemas, and reports.</t>
        </is>
      </c>
    </row>
    <row r="14" ht="15" customHeight="1" s="15">
      <c r="A14" s="24" t="inlineStr">
        <is>
          <t>No secrets in the repository</t>
        </is>
      </c>
      <c r="B14" s="23" t="inlineStr">
        <is>
          <t>Yes</t>
        </is>
      </c>
      <c r="C14" s="23" t="inlineStr">
        <is>
          <t>.gitignore, codebase security check</t>
        </is>
      </c>
      <c r="H14" s="23" t="inlineStr">
        <is>
          <t>Zero hardcoded API keys or passwords; environment variable pattern (.env.example) followed throughout.</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200 observations, 1,000 raw responses, 20 fixes, 10 pages, 30 targets</t>
        </is>
      </c>
      <c r="D18" s="23" t="inlineStr">
        <is>
          <t>0</t>
        </is>
      </c>
      <c r="E18" s="23" t="inlineStr">
        <is>
          <t>3 near-duplicates (Phase 1)</t>
        </is>
      </c>
      <c r="F18" s="23" t="inlineStr">
        <is>
          <t>0.08 min (4.8s)</t>
        </is>
      </c>
      <c r="G18" s="23" t="inlineStr">
        <is>
          <t>zsh.00</t>
        </is>
      </c>
      <c r="H18" s="23" t="inlineStr">
        <is>
          <t>data/visibility.db, outputs/reports/weekly_report_2026-10-24.md</t>
        </is>
      </c>
    </row>
    <row r="19" ht="15" customHeight="1" s="15">
      <c r="A19" s="22" t="inlineStr">
        <is>
          <t>Repeat run (same input)</t>
        </is>
      </c>
      <c r="B19" s="23" t="inlineStr">
        <is>
          <t>100 questions</t>
        </is>
      </c>
      <c r="C19" s="23" t="inlineStr">
        <is>
          <t>100 questions (idempotent sync, 0 duplicate inserts)</t>
        </is>
      </c>
      <c r="D19" s="23" t="inlineStr">
        <is>
          <t>0</t>
        </is>
      </c>
      <c r="E19" s="23" t="inlineStr">
        <is>
          <t>0</t>
        </is>
      </c>
      <c r="F19" s="23" t="inlineStr">
        <is>
          <t>0.03 min (1.8s)</t>
        </is>
      </c>
      <c r="G19" s="23" t="inlineStr">
        <is>
          <t>zsh.00</t>
        </is>
      </c>
      <c r="H19" s="23" t="inlineStr">
        <is>
          <t>tests/test_engine.py::test_duplicate_prevention_on_ingestion</t>
        </is>
      </c>
    </row>
    <row r="20" ht="15" customHeight="1" s="15">
      <c r="A20" s="22" t="inlineStr">
        <is>
          <t>Refresh (new input)</t>
        </is>
      </c>
      <c r="B20" s="23" t="inlineStr">
        <is>
          <t>100 questions (Scope: UK)</t>
        </is>
      </c>
      <c r="C20" s="23" t="inlineStr">
        <is>
          <t>100 refreshed observations (RUN-20261024082834-UK)</t>
        </is>
      </c>
      <c r="D20" s="23" t="inlineStr">
        <is>
          <t>0</t>
        </is>
      </c>
      <c r="E20" s="23" t="inlineStr">
        <is>
          <t>0</t>
        </is>
      </c>
      <c r="F20" s="23" t="inlineStr">
        <is>
          <t>0.05 min (3.1s)</t>
        </is>
      </c>
      <c r="G20" s="23" t="inlineStr">
        <is>
          <t>zsh.00</t>
        </is>
      </c>
      <c r="H20" s="23" t="inlineStr">
        <is>
          <t>data/visibility.db (collection_runs table)</t>
        </is>
      </c>
    </row>
    <row r="21" ht="15" customHeight="1" s="15">
      <c r="A21" s="22" t="inlineStr">
        <is>
          <t>Failure and recovery</t>
        </is>
      </c>
      <c r="B21" s="23" t="inlineStr">
        <is>
          <t>1 invalid question</t>
        </is>
      </c>
      <c r="C21" s="23" t="inlineStr">
        <is>
          <t>0 records inserted</t>
        </is>
      </c>
      <c r="D21" s="23" t="inlineStr">
        <is>
          <t>1 rejected</t>
        </is>
      </c>
      <c r="E21" s="23" t="inlineStr">
        <is>
          <t>0</t>
        </is>
      </c>
      <c r="F21" s="23" t="inlineStr">
        <is>
          <t>0.01 min (&lt;1.0s)</t>
        </is>
      </c>
      <c r="G21" s="23" t="inlineStr">
        <is>
          <t>zsh.00</t>
        </is>
      </c>
      <c r="H21" s="23" t="inlineStr">
        <is>
          <t>data/visibility.db (collection_errors table)</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High-frequency solo video creators, YouTube educators, and micro-agencies producing 3+ short-form clips weekly who currently stitch together fragmented tools (Descript for transcripts, OpusClip for cutting, CapCut for captions). Specific ICP: Creators with 10k-250k subscribers facing workflow bottlenecks between discovery and publishing.</t>
        </is>
      </c>
      <c r="C24" s="17" t="n"/>
      <c r="D24" s="17" t="n"/>
      <c r="E24" s="17" t="n"/>
      <c r="F24" s="17" t="n"/>
      <c r="G24" s="17" t="n"/>
      <c r="H24" s="18" t="n"/>
    </row>
    <row r="25" ht="30" customHeight="1" s="15">
      <c r="A25" s="22" t="inlineStr">
        <is>
          <t>Channels / platforms and why</t>
        </is>
      </c>
      <c r="B25" s="23" t="inlineStr">
        <is>
          <t>1. Google Search &amp; AI Overviews (captures high-intent workflow questions with 62% AIO trigger rate); 2. Perplexity &amp; Claude (captures technical creator tool comparisons where Descript/OpusClip dominate SoV); 3. Reddit r/ContentCreators, r/YouTube, r/VideoEditing (authentic peer discovery without spam).</t>
        </is>
      </c>
      <c r="C25" s="17" t="n"/>
      <c r="D25" s="17" t="n"/>
      <c r="E25" s="17" t="n"/>
      <c r="F25" s="17" t="n"/>
      <c r="G25" s="17" t="n"/>
      <c r="H25" s="18" t="n"/>
    </row>
    <row r="26" ht="30" customHeight="1" s="15">
      <c r="A26" s="22" t="inlineStr">
        <is>
          <t>Week 1 actions (owner, tool, volume)</t>
        </is>
      </c>
      <c r="B26" s="23" t="inlineStr">
        <is>
          <t>Owner: Growth Engineer. Tool: CMS/Code Repo + GSC. Actions: 1. Deploy Priority 1 technical SEO fixes (FIX-01 to FIX-05: Schema JSON-LD, llms.txt, robots.txt, sitemaps); 2. Publish Page P01 &amp; P03 (direct-answer guides); 3. Initialize visibility tracking baseline; Volume: 5 code fixes deployed, 2 pages live.</t>
        </is>
      </c>
      <c r="C26" s="17" t="n"/>
      <c r="D26" s="17" t="n"/>
      <c r="E26" s="17" t="n"/>
      <c r="F26" s="17" t="n"/>
      <c r="G26" s="17" t="n"/>
      <c r="H26" s="18" t="n"/>
    </row>
    <row r="27" ht="30" customHeight="1" s="15">
      <c r="A27" s="22" t="inlineStr">
        <is>
          <t>Weeks 2-4 actions</t>
        </is>
      </c>
      <c r="B27" s="23" t="inlineStr">
        <is>
          <t>Weeks 2-3: Publish remaining 8 pages (P02, P04-P10) with FAQPage schemas; Deploy FIX-06 to FIX-15 (canonical tags, meta descriptions, semantic headings, internal linking); Week 4: Initiate editorial PR outreach to Tier-1 comparison targets (C01-C10) offering updated 2026/2027 feature data.</t>
        </is>
      </c>
      <c r="C27" s="17" t="n"/>
      <c r="D27" s="17" t="n"/>
      <c r="E27" s="17" t="n"/>
      <c r="F27" s="17" t="n"/>
      <c r="G27" s="17" t="n"/>
      <c r="H27" s="18" t="n"/>
    </row>
    <row r="28" ht="30" customHeight="1" s="15">
      <c r="A28" s="22" t="inlineStr">
        <is>
          <t>Tools and monthly cost</t>
        </is>
      </c>
      <c r="B28" s="23" t="inlineStr">
        <is>
          <t>Total: /month. Breakdown: IncuBrix Visibility Engine (zsh open-source Python/SQLite); Streamlit Community Cloud (zsh); Serper.dev Google SERP API (/mo, 50k queries); OpenAI/Anthropic/Perplexity API credits (/mo for live assistant checks); Ahrefs/Semrush Starter (/mo); GSC (zsh).</t>
        </is>
      </c>
      <c r="C28" s="17" t="n"/>
      <c r="D28" s="17" t="n"/>
      <c r="E28" s="17" t="n"/>
      <c r="F28" s="17" t="n"/>
      <c r="G28" s="17" t="n"/>
      <c r="H28" s="18" t="n"/>
    </row>
    <row r="29" ht="30" customHeight="1" s="15">
      <c r="A29" s="22" t="inlineStr">
        <is>
          <t>Targets after 30 days (numbers)</t>
        </is>
      </c>
      <c r="B29" s="23" t="inlineStr">
        <is>
          <t>1. Technical Health: 100% crawlability, 0 missing canonicals/schemas, valid llms.txt; 2. Content Indexing: 10/10 pages indexed by Google; 3. Search Visibility: Move from 0.0% to 5.0% Organic Visibility across top 100 queries; 4. Generative Citations: First 3 AI Overview / Perplexity attributions captured.</t>
        </is>
      </c>
      <c r="C29" s="17" t="n"/>
      <c r="D29" s="17" t="n"/>
      <c r="E29" s="17" t="n"/>
      <c r="F29" s="17" t="n"/>
      <c r="G29" s="17" t="n"/>
      <c r="H29" s="18" t="n"/>
    </row>
    <row r="30" ht="30" customHeight="1" s="15">
      <c r="A30" s="22" t="inlineStr">
        <is>
          <t>Biggest risk and how to handle it</t>
        </is>
      </c>
      <c r="B30" s="23" t="inlineStr">
        <is>
          <t>Risk: AI models hallucinate or cite legacy competitors despite new content publication. Mitigation: Implement Schema.org SoftwareApplication and llms.txt structured feeds; syndicate verified direct answers into high-authority citation targets (Zapier, TechRadar, G2) which frontier models ingest as foundational RAG sources.</t>
        </is>
      </c>
      <c r="C30" s="17" t="n"/>
      <c r="D30" s="17" t="n"/>
      <c r="E30" s="17" t="n"/>
      <c r="F30" s="17" t="n"/>
      <c r="G30" s="17" t="n"/>
      <c r="H30" s="18" t="n"/>
    </row>
    <row r="31" ht="30" customHeight="1" s="15">
      <c r="A31" s="22" t="inlineStr">
        <is>
          <t>What IncuBrix must provide (accounts, access, budget)</t>
        </is>
      </c>
      <c r="B31" s="23" t="inlineStr">
        <is>
          <t>1. DNS / CMS access to incubrix.com (Next.js/WordPress or static host); 2. Google Search Console &amp; Google Analytics 4 owner access; 3. Corporate API accounts for Serper.dev, OpenAI, Anthropic, and Perplexity (/mo operational budget); 4. Approval for publication of educational comparison articles.</t>
        </is>
      </c>
      <c r="C31" s="17" t="n"/>
      <c r="D31" s="17" t="n"/>
      <c r="E31" s="17" t="n"/>
      <c r="F31" s="17" t="n"/>
      <c r="G31" s="17" t="n"/>
      <c r="H31" s="18" t="n"/>
    </row>
  </sheetData>
  <mergeCells count="13">
    <mergeCell ref="A1:H1"/>
    <mergeCell ref="A4:H4"/>
    <mergeCell ref="B28:H28"/>
    <mergeCell ref="B26:H26"/>
    <mergeCell ref="B27:H27"/>
    <mergeCell ref="A2:H2"/>
    <mergeCell ref="A16:H16"/>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data/research/questions.csv, data/visibility.csv (100 verified questions)</t>
        </is>
      </c>
      <c r="F6" s="26">
        <f>IF(C6="","",IF(C6&gt;=100,"MET","NOT MET"))</f>
        <v/>
      </c>
    </row>
    <row r="7" ht="15" customHeight="1" s="15">
      <c r="A7" s="24" t="inlineStr">
        <is>
          <t>AI assistants checked</t>
        </is>
      </c>
      <c r="B7" s="25" t="inlineStr">
        <is>
          <t>&gt;= 4</t>
        </is>
      </c>
      <c r="C7" s="23" t="n">
        <v>4</v>
      </c>
      <c r="D7" s="29" t="inlineStr">
        <is>
          <t>-</t>
        </is>
      </c>
      <c r="E7" s="23" t="inlineStr">
        <is>
          <t>ChatGPT, Gemini, Perplexity, Claude (data/visibility.db, evidence/raw/)</t>
        </is>
      </c>
      <c r="F7" s="26">
        <f>IF(C7="","",IF(C7&gt;=4,"MET","NOT MET"))</f>
        <v/>
      </c>
    </row>
    <row r="8" ht="15" customHeight="1" s="15">
      <c r="A8" s="24" t="inlineStr">
        <is>
          <t>Days measured</t>
        </is>
      </c>
      <c r="B8" s="25" t="inlineStr">
        <is>
          <t>&gt;= 2</t>
        </is>
      </c>
      <c r="C8" s="23" t="n">
        <v>2</v>
      </c>
      <c r="D8" s="29" t="inlineStr">
        <is>
          <t>-</t>
        </is>
      </c>
      <c r="E8" s="23" t="inlineStr">
        <is>
          <t>Day 1 (2026-10-21) and Day 2 (2026-10-23) in visibility_observations</t>
        </is>
      </c>
      <c r="F8" s="26">
        <f>IF(C8="","",IF(C8&gt;=2,"MET","NOT MET"))</f>
        <v/>
      </c>
    </row>
    <row r="9" ht="15" customHeight="1" s="15">
      <c r="A9" s="24" t="inlineStr">
        <is>
          <t>Validated technical fixes</t>
        </is>
      </c>
      <c r="B9" s="25" t="inlineStr">
        <is>
          <t>&gt;= 20</t>
        </is>
      </c>
      <c r="C9" s="23" t="n">
        <v>20</v>
      </c>
      <c r="D9" s="29">
        <f>COUNTIF(02b_FIXES!H5:H54,"Yes")</f>
        <v/>
      </c>
      <c r="E9" s="23" t="inlineStr">
        <is>
          <t>outputs/fixes/fixes.csv, submission/fixes/ (FIX-01 to FIX-20 validated)</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outputs/pages/content_register.csv, submission/content/ (10 pages Ready)</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outputs/citations/citation_targets.csv (30 targets prioritized)</t>
        </is>
      </c>
      <c r="F11" s="26">
        <f>IF(C11="","",IF(C11&gt;=30,"MET","NOT MET"))</f>
        <v/>
      </c>
    </row>
    <row r="12" ht="15" customHeight="1" s="15">
      <c r="A12" s="24" t="inlineStr">
        <is>
          <t>Tracker reruns from README</t>
        </is>
      </c>
      <c r="B12" s="25" t="inlineStr">
        <is>
          <t>Yes</t>
        </is>
      </c>
      <c r="C12" s="23" t="inlineStr">
        <is>
          <t>Yes</t>
        </is>
      </c>
      <c r="D12" s="29" t="inlineStr">
        <is>
          <t>-</t>
        </is>
      </c>
      <c r="E12" s="23" t="inlineStr">
        <is>
          <t>run_engine.py, README.md (python run_engine.py sync-all / 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No</t>
        </is>
      </c>
      <c r="C17" s="23" t="n">
        <v>100</v>
      </c>
      <c r="E17" s="23" t="inlineStr">
        <is>
          <t>Prioritized 100 deep-verified questions with 100% evidence provenance across 3 markets rather than unverified bulk scrape.</t>
        </is>
      </c>
    </row>
    <row r="18" ht="30" customHeight="1" s="15">
      <c r="A18" s="24" t="inlineStr">
        <is>
          <t>20 publish-ready pages, plus a programmatic page template with data for at least 100 quality-checked pages.</t>
        </is>
      </c>
      <c r="B18" s="23" t="inlineStr">
        <is>
          <t>Partial</t>
        </is>
      </c>
      <c r="C18" s="23" t="inlineStr">
        <is>
          <t>10 pages + brief generator</t>
        </is>
      </c>
      <c r="E18" s="23" t="inlineStr">
        <is>
          <t>10 full publish-ready pages (&gt;14,200 words) plus automated content brief generator for all 100 questions.</t>
        </is>
      </c>
    </row>
    <row r="19" ht="30" customHeight="1" s="15">
      <c r="A19" s="24" t="inlineStr">
        <is>
          <t>A before-and-after test on a site you own showing a measured gain in rankings or AI mentions.</t>
        </is>
      </c>
      <c r="B19" s="23" t="inlineStr">
        <is>
          <t>No</t>
        </is>
      </c>
      <c r="C19" s="23" t="inlineStr">
        <is>
          <t>N/A</t>
        </is>
      </c>
      <c r="E19" s="23" t="inlineStr">
        <is>
          <t>incubrix.com is third-party owned without direct CMS/GSC production access; 20 verified code fixes provided.</t>
        </is>
      </c>
    </row>
    <row r="20" ht="30" customHeight="1" s="15">
      <c r="A20" s="24" t="inlineStr">
        <is>
          <t>The tracker runs on a schedule and alerts when visibility changes.</t>
        </is>
      </c>
      <c r="B20" s="23" t="inlineStr">
        <is>
          <t>Yes</t>
        </is>
      </c>
      <c r="C20" s="23" t="inlineStr">
        <is>
          <t>Scheduler &amp; Alerts Active</t>
        </is>
      </c>
      <c r="E20" s="23" t="inlineStr">
        <is>
          <t>src/engine/scheduler.py executes scheduled/manual refreshes and logs change alerts when scores shift.</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verified product observations, 3 prioritized growth opportunities, 100 sourced creator questions across 10 workflow categories with zero fabricated evidence.</t>
        </is>
      </c>
      <c r="F24" s="18" t="n"/>
    </row>
    <row r="25" ht="30" customHeight="1" s="15">
      <c r="A25" s="22" t="inlineStr">
        <is>
          <t>Measurement, fixes and content</t>
        </is>
      </c>
      <c r="B25" s="25" t="n">
        <v>35</v>
      </c>
      <c r="C25" s="23" t="n">
        <v>34</v>
      </c>
      <c r="E25" s="23" t="inlineStr">
        <is>
          <t>200 empirical observations across Google + 4 AI assistants in 3 markets (US, UK, IN), 20 validated technical fixes with code artifacts, 10 publish-ready pages (&gt;14,200 words), 30 citation targets.</t>
        </is>
      </c>
      <c r="F25" s="18" t="n"/>
    </row>
    <row r="26" ht="30" customHeight="1" s="15">
      <c r="A26" s="22" t="inlineStr">
        <is>
          <t>Automation and scale</t>
        </is>
      </c>
      <c r="B26" s="25" t="n">
        <v>20</v>
      </c>
      <c r="C26" s="23" t="n">
        <v>20</v>
      </c>
      <c r="E26" s="23" t="inlineStr">
        <is>
          <t>13-table SQLite database, thread-safe Streamlit app (10 pages), unified CLI orchestrator (run_engine.py), scheduler, 96 passing pytest tests.</t>
        </is>
      </c>
      <c r="F26" s="18" t="n"/>
    </row>
    <row r="27" ht="30" customHeight="1" s="15">
      <c r="A27" s="22" t="inlineStr">
        <is>
          <t>Launch readiness</t>
        </is>
      </c>
      <c r="B27" s="25" t="n">
        <v>10</v>
      </c>
      <c r="C27" s="23" t="n">
        <v>10</v>
      </c>
      <c r="E27" s="23" t="inlineStr">
        <is>
          <t>Comprehensive 13-week 90-day launch kit with owner matrix, weekly tasks, budget (/mo), and risk register.</t>
        </is>
      </c>
      <c r="F27" s="18" t="n"/>
    </row>
    <row r="28" ht="30" customHeight="1" s="15">
      <c r="A28" s="22" t="inlineStr">
        <is>
          <t>Live review</t>
        </is>
      </c>
      <c r="B28" s="25" t="n">
        <v>25</v>
      </c>
      <c r="C28" s="23" t="n">
        <v>24</v>
      </c>
      <c r="E28" s="23" t="inlineStr">
        <is>
          <t>Full video demonstration scripts, reproducibility audit (100%), zero fabricated data, defensible MCA technical interview guides.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2026-10-24T09:55:08Z</dcterms:modified>
  <cp:revision>0</cp:revision>
</cp:coreProperties>
</file>